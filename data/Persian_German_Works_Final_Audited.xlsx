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83359bb15e4dd4" /></Relationships>
</file>

<file path=xl/workbook.xml><?xml version="1.0" encoding="utf-8"?>
<x:workbook xmlns:x="http://schemas.openxmlformats.org/spreadsheetml/2006/main">
  <x:sheets>
    <x:sheet xmlns:r="http://schemas.openxmlformats.org/officeDocument/2006/relationships" name="Decision queue" sheetId="1" r:id="Rb99d5146f0d048e6"/>
    <x:sheet xmlns:r="http://schemas.openxmlformats.org/officeDocument/2006/relationships" name="Provisional works" sheetId="2" r:id="Re4e72838c6f04ff2"/>
    <x:sheet xmlns:r="http://schemas.openxmlformats.org/officeDocument/2006/relationships" name="278 group classifications" sheetId="3" r:id="Rca935924a51c4584"/>
    <x:sheet xmlns:r="http://schemas.openxmlformats.org/officeDocument/2006/relationships" name="Spot checks" sheetId="4" r:id="R382d9c25bd2741ac"/>
    <x:sheet xmlns:r="http://schemas.openxmlformats.org/officeDocument/2006/relationships" name="Cleaning rules" sheetId="5" r:id="R0b5086c0927d4701"/>
    <x:sheet xmlns:r="http://schemas.openxmlformats.org/officeDocument/2006/relationships" name="Change log" sheetId="6" r:id="Rd9dc99aca04e4619"/>
    <x:sheet xmlns:r="http://schemas.openxmlformats.org/officeDocument/2006/relationships" name="Quality checks" sheetId="7" r:id="Rd27f04e3c6b34b86"/>
    <x:sheet xmlns:r="http://schemas.openxmlformats.org/officeDocument/2006/relationships" name="Final works" sheetId="8" r:id="R7d92ef92aa1b47b7"/>
    <x:sheet xmlns:r="http://schemas.openxmlformats.org/officeDocument/2006/relationships" name="Literary 890 audit" sheetId="9" r:id="R72fc94cb521e4ed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General"/>
  </x:numFmts>
  <x:fonts count="9">
    <x:font>
      <x:sz val="11"/>
      <x:name val="Carlito"/>
    </x:font>
    <x:font>
      <x:b/>
      <x:sz val="16"/>
      <x:color rgb="FFFFFFFF"/>
      <x:name val="Carlito"/>
    </x:font>
    <x:font>
      <x:i/>
      <x:sz val="10"/>
      <x:color rgb="FF334E68"/>
      <x:name val="Carlito"/>
    </x:font>
    <x:font>
      <x:b/>
      <x:sz val="11"/>
      <x:color rgb="FF17365D"/>
      <x:name val="Carlito"/>
    </x:font>
    <x:font>
      <x:b/>
      <x:sz val="12"/>
      <x:color rgb="FF17365D"/>
      <x:name val="Carlito"/>
    </x:font>
    <x:font>
      <x:b/>
      <x:sz val="11"/>
      <x:color rgb="FFFFFFFF"/>
      <x:name val="Carlito"/>
    </x:font>
    <x:font>
      <x:b/>
      <x:sz val="12"/>
      <x:color rgb="FFFFFFFF"/>
      <x:name val="Carlito"/>
    </x:font>
    <x:font>
      <x:sz val="11"/>
      <x:color rgb="FF17365D"/>
      <x:name val="Carlito"/>
    </x:font>
    <x:font>
      <x:b/>
      <x:sz val="11"/>
      <x:color rgb="FF9C0006"/>
      <x:name val="Carlito"/>
    </x:font>
  </x:fonts>
  <x:fills count="26">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FFFFFF"/>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FF2CC"/>
      </x:patternFill>
    </x:fill>
    <x:fill>
      <x:patternFill patternType="solid">
        <x:fgColor rgb="FF17365D"/>
      </x:patternFill>
    </x:fill>
    <x:fill>
      <x:patternFill patternType="solid">
        <x:fgColor rgb="FFF2F2F2"/>
      </x:patternFill>
    </x:fill>
    <x:fill>
      <x:patternFill patternType="solid">
        <x:fgColor rgb="FFE2F0D9"/>
      </x:patternFill>
    </x:fill>
    <x:fill>
      <x:patternFill patternType="solid">
        <x:fgColor rgb="FFFCE8E6"/>
      </x:patternFill>
    </x:fill>
  </x:fills>
  <x:borders count="2">
    <x:border/>
    <x:border>
      <x:left style="thin">
        <x:color rgb="FFB8C7D9"/>
      </x:left>
      <x:right style="thin">
        <x:color rgb="FFB8C7D9"/>
      </x:right>
      <x:top style="thin">
        <x:color rgb="FFB8C7D9"/>
      </x:top>
      <x:bottom style="thin">
        <x:color rgb="FFB8C7D9"/>
      </x:bottom>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3" fillId="7" borderId="1" xfId="0" applyNumberFormat="1" applyFont="1" applyFill="1" applyBorder="1" applyAlignment="1">
      <x:alignment horizontal="center" vertical="top" wrapText="1"/>
    </x:xf>
    <x:xf numFmtId="0" fontId="3" fillId="8" borderId="1" xfId="0" applyNumberFormat="1" applyFont="1" applyFill="1" applyBorder="1" applyAlignment="1">
      <x:alignment horizontal="center" vertical="top" wrapText="1"/>
    </x:xf>
    <x:xf numFmtId="0" fontId="3" fillId="9" borderId="1" xfId="0" applyNumberFormat="1" applyFont="1" applyFill="1" applyBorder="1" applyAlignment="1">
      <x:alignment vertical="top" wrapText="1"/>
    </x:xf>
    <x:xf numFmtId="0" fontId="3" fillId="10" borderId="1" xfId="0" applyNumberFormat="1" applyFont="1" applyFill="1" applyBorder="1" applyAlignment="1">
      <x:alignment vertical="top" wrapText="1"/>
    </x:xf>
    <x:xf numFmtId="0" fontId="3" fillId="11" borderId="1" xfId="0" applyNumberFormat="1" applyFont="1" applyFill="1" applyBorder="1" applyAlignment="1">
      <x:alignment vertical="top" wrapText="1"/>
    </x:xf>
    <x:xf numFmtId="0" fontId="3" fillId="12" borderId="1" xfId="0" applyNumberFormat="1" applyFont="1" applyFill="1" applyBorder="1" applyAlignment="1">
      <x:alignment vertical="top" wrapText="1"/>
    </x:xf>
    <x:xf numFmtId="0" fontId="3" fillId="13"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3" fillId="10" borderId="1" xfId="0" applyNumberFormat="1" applyFont="1" applyFill="1" applyBorder="1" applyAlignment="1">
      <x:alignment horizontal="center" vertical="top" wrapText="1"/>
    </x:xf>
    <x:xf numFmtId="0" fontId="3" fillId="13" borderId="1" xfId="0" applyNumberFormat="1" applyFont="1" applyFill="1" applyBorder="1" applyAlignment="1">
      <x:alignment horizontal="center" vertical="top" wrapText="1"/>
    </x:xf>
    <x:xf numFmtId="0" fontId="0" fillId="13" borderId="1"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5" fillId="14" borderId="0" xfId="0" applyNumberFormat="1" applyFont="1" applyFill="1" applyBorder="1"/>
    <x:xf numFmtId="0" fontId="5" fillId="14" borderId="1" xfId="0" applyNumberFormat="1" applyFont="1" applyFill="1" applyBorder="1"/>
    <x:xf numFmtId="0" fontId="5" fillId="14" borderId="1" xfId="0" applyNumberFormat="1" applyFont="1" applyFill="1" applyBorder="1" applyAlignment="1">
      <x:alignment wrapText="1"/>
    </x:xf>
    <x:xf numFmtId="0" fontId="0" fillId="16" borderId="1" xfId="0" applyNumberFormat="1" applyFont="1" applyFill="1" applyBorder="1" applyAlignment="1">
      <x:alignment vertical="top" wrapText="1"/>
    </x:xf>
    <x:xf numFmtId="0" fontId="3" fillId="16" borderId="1"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1" xfId="0" applyNumberFormat="1" applyFont="1" applyFill="1" applyBorder="1"/>
    <x:xf numFmtId="0" fontId="3" fillId="17" borderId="1" xfId="0" applyNumberFormat="1" applyFont="1" applyFill="1" applyBorder="1" applyAlignment="1">
      <x:alignment wrapText="1"/>
    </x:xf>
    <x:xf numFmtId="0" fontId="5" fillId="14" borderId="1" xfId="0" applyNumberFormat="1" applyFont="1" applyFill="1" applyBorder="1" applyAlignment="1">
      <x:alignment vertical="center" wrapText="1"/>
    </x:xf>
    <x:xf numFmtId="0" fontId="0" fillId="18" borderId="1" xfId="0" applyNumberFormat="1" applyFont="1" applyFill="1" applyBorder="1" applyAlignment="1">
      <x:alignment vertical="top" wrapText="1"/>
    </x:xf>
    <x:xf numFmtId="0" fontId="0" fillId="17" borderId="1" xfId="0" applyNumberFormat="1" applyFont="1" applyFill="1" applyBorder="1" applyAlignment="1">
      <x:alignment vertical="top" wrapText="1"/>
    </x:xf>
    <x:xf numFmtId="0" fontId="0" fillId="19" borderId="1" xfId="0" applyNumberFormat="1" applyFont="1" applyFill="1" applyBorder="1" applyAlignment="1">
      <x:alignment vertical="top" wrapText="1"/>
    </x:xf>
    <x:xf numFmtId="0" fontId="3" fillId="19" borderId="1" xfId="0" applyNumberFormat="1" applyFont="1" applyFill="1" applyBorder="1" applyAlignment="1">
      <x:alignment vertical="top" wrapText="1"/>
    </x:xf>
    <x:xf numFmtId="0" fontId="0" fillId="20" borderId="1" xfId="0" applyNumberFormat="1" applyFont="1" applyFill="1" applyBorder="1" applyAlignment="1">
      <x:alignment vertical="top" wrapText="1"/>
    </x:xf>
    <x:xf numFmtId="0" fontId="0" fillId="21" borderId="1"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vertical="center"/>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1"/>
    </x:xf>
    <x:xf numFmtId="0" fontId="2" fillId="20" borderId="0" xfId="0" applyNumberFormat="1" applyFont="1" applyFill="1" applyBorder="1" applyAlignment="1">
      <x:alignment vertical="center" wrapText="1"/>
    </x:xf>
    <x:xf numFmtId="0" fontId="0" fillId="19" borderId="0" xfId="0" applyNumberFormat="1" applyFont="1" applyFill="1" applyBorder="1"/>
    <x:xf numFmtId="0" fontId="4" fillId="19" borderId="0" xfId="0" applyNumberFormat="1" applyFont="1" applyFill="1" applyBorder="1"/>
    <x:xf numFmtId="0" fontId="0" fillId="23" borderId="1" xfId="0" applyNumberFormat="1" applyFont="1" applyFill="1" applyBorder="1" applyAlignment="1">
      <x:alignment vertical="top" wrapText="1"/>
    </x:xf>
    <x:xf numFmtId="0" fontId="3" fillId="23" borderId="1" xfId="0" applyNumberFormat="1" applyFont="1" applyFill="1" applyBorder="1" applyAlignment="1">
      <x:alignment vertical="top" wrapText="1"/>
    </x:xf>
    <x:xf numFmtId="0" fontId="0" fillId="24" borderId="1" xfId="0" applyNumberFormat="1" applyFont="1" applyFill="1" applyBorder="1" applyAlignment="1">
      <x:alignment vertical="top" wrapText="1"/>
    </x:xf>
    <x:xf numFmtId="0" fontId="5" fillId="22" borderId="0" xfId="0" applyNumberFormat="1" applyFont="1" applyFill="1" applyBorder="1"/>
    <x:xf numFmtId="0" fontId="5" fillId="22" borderId="1" xfId="0" applyNumberFormat="1" applyFont="1" applyFill="1" applyBorder="1"/>
    <x:xf numFmtId="0" fontId="5" fillId="22" borderId="1" xfId="0" applyNumberFormat="1" applyFont="1" applyFill="1" applyBorder="1" applyAlignment="1">
      <x:alignment wrapText="1"/>
    </x:xf>
    <x:xf numFmtId="0" fontId="5" fillId="22" borderId="1" xfId="0" applyNumberFormat="1" applyFont="1" applyFill="1" applyBorder="1" applyAlignment="1">
      <x:alignment vertical="center" wrapText="1"/>
    </x:xf>
    <x:xf numFmtId="0" fontId="6" fillId="22" borderId="0" xfId="0" applyNumberFormat="1" applyFont="1" applyFill="1" applyBorder="1"/>
    <x:xf numFmtId="0" fontId="7" fillId="20" borderId="0" xfId="0" applyNumberFormat="1" applyFont="1" applyFill="1" applyBorder="1"/>
    <x:xf numFmtId="0" fontId="7" fillId="20" borderId="1" xfId="0" applyNumberFormat="1" applyFont="1" applyFill="1" applyBorder="1"/>
    <x:xf numFmtId="0" fontId="7" fillId="20" borderId="1" xfId="0" applyNumberFormat="1" applyFont="1" applyFill="1" applyBorder="1" applyAlignment="1">
      <x:alignment wrapText="1"/>
    </x:xf>
    <x:xf numFmtId="0" fontId="7" fillId="20" borderId="1" xfId="0" applyNumberFormat="1" applyFont="1" applyFill="1" applyBorder="1" applyAlignment="1">
      <x:alignment vertical="center" wrapText="1"/>
    </x:xf>
    <x:xf numFmtId="0" fontId="0" fillId="25" borderId="0" xfId="0" applyNumberFormat="1" applyFont="1" applyFill="1" applyBorder="1"/>
    <x:xf numFmtId="0" fontId="8" fillId="25" borderId="0" xfId="0" applyNumberFormat="1" applyFont="1" applyFill="1" applyBorder="1"/>
    <x:xf numFmtId="0" fontId="8" fillId="25" borderId="1" xfId="0" applyNumberFormat="1" applyFont="1" applyFill="1" applyBorder="1"/>
    <x:xf numFmtId="0" fontId="8" fillId="25" borderId="1" xfId="0" applyNumberFormat="1" applyFont="1" applyFill="1" applyBorder="1" applyAlignment="1">
      <x:alignment wrapText="1"/>
    </x:xf>
    <x:xf numFmtId="0" fontId="8" fillId="2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c7413b32b3419c" /><Relationship Type="http://schemas.openxmlformats.org/officeDocument/2006/relationships/theme" Target="/xl/theme/theme1.xml" Id="Rfae661ed485a4a42" /><Relationship Type="http://schemas.openxmlformats.org/officeDocument/2006/relationships/sharedStrings" Target="/xl/sharedStrings.xml" Id="Rbbb501c6b25a4278" /><Relationship Type="http://schemas.openxmlformats.org/officeDocument/2006/relationships/worksheet" Target="/xl/worksheets/sheet1.xml" Id="Rb99d5146f0d048e6" /><Relationship Type="http://schemas.openxmlformats.org/officeDocument/2006/relationships/worksheet" Target="/xl/worksheets/sheet2.xml" Id="Re4e72838c6f04ff2" /><Relationship Type="http://schemas.openxmlformats.org/officeDocument/2006/relationships/worksheet" Target="/xl/worksheets/sheet3.xml" Id="Rca935924a51c4584" /><Relationship Type="http://schemas.openxmlformats.org/officeDocument/2006/relationships/worksheet" Target="/xl/worksheets/sheet4.xml" Id="R382d9c25bd2741ac" /><Relationship Type="http://schemas.openxmlformats.org/officeDocument/2006/relationships/worksheet" Target="/xl/worksheets/sheet5.xml" Id="R0b5086c0927d4701" /><Relationship Type="http://schemas.openxmlformats.org/officeDocument/2006/relationships/worksheet" Target="/xl/worksheets/sheet6.xml" Id="Rd9dc99aca04e4619" /><Relationship Type="http://schemas.openxmlformats.org/officeDocument/2006/relationships/worksheet" Target="/xl/worksheets/sheet7.xml" Id="Rd27f04e3c6b34b86" /><Relationship Type="http://schemas.openxmlformats.org/officeDocument/2006/relationships/worksheet" Target="/xl/worksheets/sheet8.xml" Id="R7d92ef92aa1b47b7" /><Relationship Type="http://schemas.openxmlformats.org/officeDocument/2006/relationships/worksheet" Target="/xl/worksheets/sheet9.xml" Id="R72fc94cb521e4e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ED7D31"/>
  </x:sheetPr>
  <x:sheetViews>
    <x:sheetView showGridLines="0" workbookViewId="0">
      <x:pane xSplit="4" ySplit="7" topLeftCell="E8" activePane="bottomRight" state="frozen"/>
    </x:sheetView>
  </x:sheetViews>
  <x:sheetFormatPr defaultRowHeight="15"/>
  <x:cols>
    <x:col min="1" max="1" width="9" hidden="0" customWidth="1"/>
    <x:col min="2" max="2" width="23" hidden="0" customWidth="1"/>
    <x:col min="3" max="3" width="23" hidden="0" customWidth="1"/>
    <x:col min="4" max="4" width="36" hidden="0" customWidth="1"/>
    <x:col min="5" max="5" width="35" hidden="0" customWidth="1"/>
    <x:col min="6" max="6" width="35" hidden="0" customWidth="1"/>
    <x:col min="7" max="7" width="35" hidden="0" customWidth="1"/>
    <x:col min="8" max="8" width="14" hidden="0" customWidth="1"/>
    <x:col min="9" max="9" width="14" hidden="0" customWidth="1"/>
    <x:col min="10" max="10" width="14" hidden="0" customWidth="1"/>
    <x:col min="11" max="11" width="28" hidden="0" customWidth="1"/>
    <x:col min="12" max="12" width="28" hidden="0" customWidth="1"/>
    <x:col min="13" max="13" width="39" hidden="0" customWidth="1"/>
    <x:col min="14" max="14" width="39" hidden="0" customWidth="1"/>
    <x:col min="15" max="15" width="16" hidden="0" customWidth="1"/>
    <x:col min="16" max="16" width="39" hidden="0" customWidth="1"/>
    <x:col min="17" max="17" width="24" hidden="0" customWidth="1"/>
    <x:col min="18" max="18" width="52" hidden="0" customWidth="1"/>
  </x:cols>
  <x:sheetData>
    <x:row r="1" ht="30" customHeight="1">
      <x:c r="A1" s="3" t="str">
        <x:v>Manual decision queue — final consistency version</x:v>
      </x:c>
      <x:c r="B1" s="3"/>
      <x:c r="C1" s="3"/>
      <x:c r="D1" s="3"/>
      <x:c r="E1" s="3"/>
      <x:c r="F1" s="3"/>
      <x:c r="G1" s="3"/>
      <x:c r="H1" s="3"/>
      <x:c r="I1" s="3"/>
      <x:c r="J1" s="3"/>
      <x:c r="K1" s="3"/>
      <x:c r="L1" s="3"/>
      <x:c r="M1" s="3"/>
      <x:c r="N1" s="3"/>
      <x:c r="O1" s="3"/>
      <x:c r="P1" s="3"/>
      <x:c r="Q1" s="3"/>
      <x:c r="R1" s="3"/>
    </x:row>
    <x:row r="2" ht="44" customHeight="1">
      <x:c r="A2" s="7" t="str">
        <x:v>The 30-row manual queue is frozen after the student checked its sources. The later translation scan repaired title-embedded and cross-edition gaps without opening new manual cases. One bilingual case remains NEEDS_SOURCE.</x:v>
      </x:c>
      <x:c r="B2" s="7"/>
      <x:c r="C2" s="7"/>
      <x:c r="D2" s="7"/>
      <x:c r="E2" s="7"/>
      <x:c r="F2" s="7"/>
      <x:c r="G2" s="7"/>
      <x:c r="H2" s="7"/>
      <x:c r="I2" s="7"/>
      <x:c r="J2" s="7"/>
      <x:c r="K2" s="7"/>
      <x:c r="L2" s="7"/>
      <x:c r="M2" s="7"/>
      <x:c r="N2" s="7"/>
      <x:c r="O2" s="7"/>
      <x:c r="P2" s="7"/>
      <x:c r="Q2" s="7"/>
      <x:c r="R2" s="7"/>
    </x:row>
    <x:row r="4">
      <x:c r="A4" s="10" t="str">
        <x:v>Queue rows</x:v>
      </x:c>
      <x:c r="B4" s="13" t="n">
        <x:v>30</x:v>
      </x:c>
      <x:c r="C4" s="10" t="str">
        <x:v>Original groups</x:v>
      </x:c>
      <x:c r="D4" s="13" t="n">
        <x:v>278</x:v>
      </x:c>
      <x:c r="E4" s="10" t="str">
        <x:v>Provisional works</x:v>
      </x:c>
      <x:c r="F4" s="13" t="n">
        <x:v>120</x:v>
      </x:c>
      <x:c r="G4" s="10" t="str">
        <x:v>Queue cap</x:v>
      </x:c>
      <x:c r="H4" s="13" t="n">
        <x:v>30</x:v>
      </x:c>
    </x:row>
    <x:row r="7" ht="42" customHeight="1">
      <x:c r="A7" s="17" t="str">
        <x:v>Priority</x:v>
      </x:c>
      <x:c r="B7" s="17" t="str">
        <x:v>Item type</x:v>
      </x:c>
      <x:c r="C7" s="17" t="str">
        <x:v>Author</x:v>
      </x:c>
      <x:c r="D7" s="17" t="str">
        <x:v>Title / item</x:v>
      </x:c>
      <x:c r="E7" s="17" t="str">
        <x:v>Automated status</x:v>
      </x:c>
      <x:c r="F7" s="17" t="str">
        <x:v>Why manual review is needed</x:v>
      </x:c>
      <x:c r="G7" s="17" t="str">
        <x:v>Suggested default</x:v>
      </x:c>
      <x:c r="H7" s="17" t="str">
        <x:v>Earliest year</x:v>
      </x:c>
      <x:c r="I7" s="17" t="str">
        <x:v>Latest year</x:v>
      </x:c>
      <x:c r="J7" s="17" t="str">
        <x:v>Language codes</x:v>
      </x:c>
      <x:c r="K7" s="17" t="str">
        <x:v>Provisional unit type</x:v>
      </x:c>
      <x:c r="L7" s="17" t="str">
        <x:v>Original-language certainty</x:v>
      </x:c>
      <x:c r="M7" s="17" t="str">
        <x:v>Source candidate IDs</x:v>
      </x:c>
      <x:c r="N7" s="17" t="str">
        <x:v>DNB IDNs</x:v>
      </x:c>
      <x:c r="O7" s="17" t="str">
        <x:v>YOUR DECISION</x:v>
      </x:c>
      <x:c r="P7" s="17" t="str">
        <x:v>FINAL TITLE</x:v>
      </x:c>
      <x:c r="Q7" s="17" t="str">
        <x:v>FINAL UNIT TYPE</x:v>
      </x:c>
      <x:c r="R7" s="17" t="str">
        <x:v>YOUR NOTE</x:v>
      </x:c>
    </x:row>
    <x:row r="8" ht="82" customHeight="1">
      <x:c r="A8" s="20" t="n">
        <x:v>1</x:v>
      </x:c>
      <x:c r="B8" s="20" t="str">
        <x:v>original title group</x:v>
      </x:c>
      <x:c r="C8" s="20" t="str">
        <x:v>Asal Dardan</x:v>
      </x:c>
      <x:c r="D8" s="20" t="str">
        <x:v>Global &amp; beta English version : E-Book Code Berlin. A Reader</x:v>
      </x:c>
      <x:c r="E8" s="20" t="str">
        <x:v>REVIEW_TRANSLATION_OR_BILINGUAL</x:v>
      </x:c>
      <x:c r="F8" s="20" t="str">
        <x:v>translator role without stated original language</x:v>
      </x:c>
      <x:c r="G8" s="20" t="str">
        <x:v>Exclude from German-original count unless a source confirms an original bilingual work.</x:v>
      </x:c>
      <x:c r="H8" s="20" t="str">
        <x:v>2016</x:v>
      </x:c>
      <x:c r="I8" s="20" t="str">
        <x:v>2016</x:v>
      </x:c>
      <x:c r="J8" s="20" t="str">
        <x:v>ger</x:v>
      </x:c>
      <x:c r="K8" s="20" t="str">
        <x:v>unclear</x:v>
      </x:c>
      <x:c r="L8" s="20" t="str">
        <x:v>unclear</x:v>
      </x:c>
      <x:c r="M8" s="20" t="str">
        <x:v>asal-dardan-8c73eeaa69</x:v>
      </x:c>
      <x:c r="N8" s="20" t="str">
        <x:v>1120467063</x:v>
      </x:c>
      <x:c r="O8" s="21" t="str">
        <x:v>EXCLUDE</x:v>
      </x:c>
      <x:c r="P8" s="21" t="str">
        <x:v>Global &amp; beta English version</x:v>
      </x:c>
      <x:c r="Q8" s="21" t="str">
        <x:v>anthology contribution</x:v>
      </x:c>
      <x:c r="R8" s="21" t="str">
        <x:v>The title says ‘English version’. I excluded this edition from the German-original count.</x:v>
      </x:c>
    </x:row>
    <x:row r="9" ht="82" customHeight="1">
      <x:c r="A9" s="20" t="n">
        <x:v>2</x:v>
      </x:c>
      <x:c r="B9" s="20" t="str">
        <x:v>original title group</x:v>
      </x:c>
      <x:c r="C9" s="20" t="str">
        <x:v>SAID</x:v>
      </x:c>
      <x:c r="D9" s="20" t="str">
        <x:v>Salam Yamen - lieber Said : Dialog</x:v>
      </x:c>
      <x:c r="E9" s="20" t="str">
        <x:v>REVIEW_TRANSLATION_OR_BILINGUAL</x:v>
      </x:c>
      <x:c r="F9" s="20" t="str">
        <x:v>translator role without stated original language</x:v>
      </x:c>
      <x:c r="G9" s="20" t="str">
        <x:v>Exclude from German-original count unless a source confirms an original bilingual work.</x:v>
      </x:c>
      <x:c r="H9" s="20" t="str">
        <x:v>2018</x:v>
      </x:c>
      <x:c r="I9" s="20" t="str">
        <x:v>2019</x:v>
      </x:c>
      <x:c r="J9" s="20" t="str">
        <x:v>ger | ara</x:v>
      </x:c>
      <x:c r="K9" s="20" t="str">
        <x:v>unclear</x:v>
      </x:c>
      <x:c r="L9" s="20" t="str">
        <x:v>unclear</x:v>
      </x:c>
      <x:c r="M9" s="20" t="str">
        <x:v>said-f1cc2c5ef5</x:v>
      </x:c>
      <x:c r="N9" s="20" t="str">
        <x:v>1178558924 | 1165540371</x:v>
      </x:c>
      <x:c r="O9" s="21" t="str">
        <x:v>NEEDS_SOURCE</x:v>
      </x:c>
      <x:c r="P9" s="21" t="str">
        <x:v>Salam Yamen – lieber Said</x:v>
      </x:c>
      <x:c r="Q9" s="21" t="str">
        <x:v>anthology contribution</x:v>
      </x:c>
      <x:c r="R9" s="21" t="str">
        <x:v>The publication is bilingual and names translators, but the metadata does not show which parts SAID wrote in German. I left it outside the German-original count until a title-level source separates the contributions.</x:v>
      </x:c>
    </x:row>
    <x:row r="10" ht="82" customHeight="1">
      <x:c r="A10" s="20" t="n">
        <x:v>3</x:v>
      </x:c>
      <x:c r="B10" s="20" t="str">
        <x:v>provisional work cluster</x:v>
      </x:c>
      <x:c r="C10" s="20" t="str">
        <x:v>Asal Dardan</x:v>
      </x:c>
      <x:c r="D10" s="20" t="str">
        <x:v>Global &amp; beta</x:v>
      </x:c>
      <x:c r="E10" s="20" t="str">
        <x:v>REVIEW_REQUIRED</x:v>
      </x:c>
      <x:c r="F10" s="20" t="str">
        <x:v>possible anthology | multiple authors with Verfasser role</x:v>
      </x:c>
      <x:c r="G10" s="20" t="str">
        <x:v>Keep only as an anthology contribution; do not count as a standalone book.</x:v>
      </x:c>
      <x:c r="H10" s="20" t="n">
        <x:v>2016</x:v>
      </x:c>
      <x:c r="I10" s="20" t="n">
        <x:v>2016</x:v>
      </x:c>
      <x:c r="J10" s="20" t="str">
        <x:v>ger</x:v>
      </x:c>
      <x:c r="K10" s="20" t="str">
        <x:v>anthology contribution</x:v>
      </x:c>
      <x:c r="L10" s="20" t="str">
        <x:v>provisional German-original: DNB metadata</x:v>
      </x:c>
      <x:c r="M10" s="20" t="str">
        <x:v>asal-dardan-e89d86099b</x:v>
      </x:c>
      <x:c r="N10" s="20" t="str">
        <x:v>1129227847</x:v>
      </x:c>
      <x:c r="O10" s="21" t="str">
        <x:v>KEEP_ONE</x:v>
      </x:c>
      <x:c r="P10" s="21" t="str">
        <x:v>Digitale Heimat (in: Global &amp; beta)</x:v>
      </x:c>
      <x:c r="Q10" s="21" t="str">
        <x:v>anthology contribution</x:v>
      </x:c>
      <x:c r="R10" s="21" t="str">
        <x:v>DNB lists Dardan as one of several authors. The mikrotext PDF confirms that her contribution is ‘Digitale Heimat’, so I counted her contribution and not the whole anthology.</x:v>
      </x:c>
    </x:row>
    <x:row r="11" ht="82" customHeight="1">
      <x:c r="A11" s="20" t="n">
        <x:v>4</x:v>
      </x:c>
      <x:c r="B11" s="20" t="str">
        <x:v>provisional work cluster</x:v>
      </x:c>
      <x:c r="C11" s="20" t="str">
        <x:v>Nasrin Siege</x:v>
      </x:c>
      <x:c r="D11" s="20" t="str">
        <x:v>Juma</x:v>
      </x:c>
      <x:c r="E11" s="20" t="str">
        <x:v>REVIEW_REQUIRED</x:v>
      </x:c>
      <x:c r="F11" s="20" t="str">
        <x:v>revised or expanded edition statement | multiple original title groups merged | split-year title variants</x:v>
      </x:c>
      <x:c r="G11" s="20" t="str">
        <x:v>Keep as one work and record the variant unless a source shows a substantially new text.</x:v>
      </x:c>
      <x:c r="H11" s="20" t="n">
        <x:v>2015</x:v>
      </x:c>
      <x:c r="I11" s="20" t="n">
        <x:v>2025</x:v>
      </x:c>
      <x:c r="J11" s="20" t="str">
        <x:v>ger</x:v>
      </x:c>
      <x:c r="K11" s="20" t="str">
        <x:v>standalone work</x:v>
      </x:c>
      <x:c r="L11" s="20" t="str">
        <x:v>provisional German-original: DNB metadata</x:v>
      </x:c>
      <x:c r="M11" s="20" t="str">
        <x:v>nasrin-siege-35d70d1e76 | nasrin-siege-ca3988a5e4</x:v>
      </x:c>
      <x:c r="N11" s="20" t="str">
        <x:v>1070905445 | 1367659213</x:v>
      </x:c>
      <x:c r="O11" s="21" t="str">
        <x:v>KEEP_ONE</x:v>
      </x:c>
      <x:c r="P11" s="21" t="str">
        <x:v>Juma: Ein Straßenkind aus Tansania</x:v>
      </x:c>
      <x:c r="Q11" s="21" t="str">
        <x:v>standalone work</x:v>
      </x:c>
      <x:c r="R11" s="21" t="str">
        <x:v>The records have the same title. One is an e-book and the other is a later print edition, so I counted one work.</x:v>
      </x:c>
    </x:row>
    <x:row r="12" ht="82" customHeight="1">
      <x:c r="A12" s="20" t="n">
        <x:v>5</x:v>
      </x:c>
      <x:c r="B12" s="20" t="str">
        <x:v>provisional work cluster</x:v>
      </x:c>
      <x:c r="C12" s="20" t="str">
        <x:v>Nasrin Siege</x:v>
      </x:c>
      <x:c r="D12" s="20" t="str">
        <x:v>Sombo, das Mädchen vom Fluss</x:v>
      </x:c>
      <x:c r="E12" s="20" t="str">
        <x:v>REVIEW_REQUIRED</x:v>
      </x:c>
      <x:c r="F12" s="20" t="str">
        <x:v>revised or expanded edition statement | multiple original title groups merged | split-year title variants</x:v>
      </x:c>
      <x:c r="G12" s="20" t="str">
        <x:v>Keep as one work and record the variant unless a source shows a substantially new text.</x:v>
      </x:c>
      <x:c r="H12" s="20" t="n">
        <x:v>1990</x:v>
      </x:c>
      <x:c r="I12" s="20" t="n">
        <x:v>2025</x:v>
      </x:c>
      <x:c r="J12" s="20" t="str">
        <x:v>ger</x:v>
      </x:c>
      <x:c r="K12" s="20" t="str">
        <x:v>standalone work</x:v>
      </x:c>
      <x:c r="L12" s="20" t="str">
        <x:v>provisional German-original: DNB metadata</x:v>
      </x:c>
      <x:c r="M12" s="20" t="str">
        <x:v>nasrin-siege-15efbe548b | nasrin-siege-8bfc6f903e</x:v>
      </x:c>
      <x:c r="N12" s="20" t="str">
        <x:v>1036449033 | 1388067358 | 901321850 | 910910383 | 940332094 | 942082494 | 944785905 | 964184583</x:v>
      </x:c>
      <x:c r="O12" s="21" t="str">
        <x:v>KEEP_ONE</x:v>
      </x:c>
      <x:c r="P12" s="21" t="str">
        <x:v>Sombo, das Mädchen vom Fluss</x:v>
      </x:c>
      <x:c r="Q12" s="21" t="str">
        <x:v>standalone work</x:v>
      </x:c>
      <x:c r="R12" s="21" t="str">
        <x:v>All records have the same title. They are different editions of the same book, so I counted one work.</x:v>
      </x:c>
    </x:row>
    <x:row r="13" ht="82" customHeight="1">
      <x:c r="A13" s="20" t="n">
        <x:v>6</x:v>
      </x:c>
      <x:c r="B13" s="20" t="str">
        <x:v>provisional work cluster</x:v>
      </x:c>
      <x:c r="C13" s="20" t="str">
        <x:v>Nasrin Siege</x:v>
      </x:c>
      <x:c r="D13" s="20" t="str">
        <x:v>Wie der Fluss in meinem Dorf</x:v>
      </x:c>
      <x:c r="E13" s="20" t="str">
        <x:v>REVIEW_REQUIRED</x:v>
      </x:c>
      <x:c r="F13" s="20" t="str">
        <x:v>revised or expanded edition statement | multiple original title groups merged | split-year title variants</x:v>
      </x:c>
      <x:c r="G13" s="20" t="str">
        <x:v>Keep as one work and record the variant unless a source shows a substantially new text.</x:v>
      </x:c>
      <x:c r="H13" s="20" t="n">
        <x:v>1994</x:v>
      </x:c>
      <x:c r="I13" s="20" t="n">
        <x:v>2026</x:v>
      </x:c>
      <x:c r="J13" s="20" t="str">
        <x:v>ger</x:v>
      </x:c>
      <x:c r="K13" s="20" t="str">
        <x:v>standalone work</x:v>
      </x:c>
      <x:c r="L13" s="20" t="str">
        <x:v>provisional German-original: DNB metadata</x:v>
      </x:c>
      <x:c r="M13" s="20" t="str">
        <x:v>nasrin-siege-60405afad1 | nasrin-siege-a887aba7ba</x:v>
      </x:c>
      <x:c r="N13" s="20" t="str">
        <x:v>1209962926 | 1236855612 | 124642794X | 1403693382 | 94066464X | 947646175 | 96367143X</x:v>
      </x:c>
      <x:c r="O13" s="21" t="str">
        <x:v>KEEP_ONE</x:v>
      </x:c>
      <x:c r="P13" s="21" t="str">
        <x:v>Wie der Fluss in meinem Dorf</x:v>
      </x:c>
      <x:c r="Q13" s="21" t="str">
        <x:v>standalone work</x:v>
      </x:c>
      <x:c r="R13" s="21" t="str">
        <x:v>The 2021 DNB record says ‘revidierte Auflage’, but that alone does not show a substantially new text. I counted one work.</x:v>
      </x:c>
    </x:row>
    <x:row r="14" ht="82" customHeight="1">
      <x:c r="A14" s="20" t="n">
        <x:v>7</x:v>
      </x:c>
      <x:c r="B14" s="20" t="str">
        <x:v>provisional work cluster</x:v>
      </x:c>
      <x:c r="C14" s="20" t="str">
        <x:v>Navid Kermani</x:v>
      </x:c>
      <x:c r="D14" s="20" t="str">
        <x:v>Die Bibel. Das Projekt</x:v>
      </x:c>
      <x:c r="E14" s="20" t="str">
        <x:v>REVIEW_REQUIRED</x:v>
      </x:c>
      <x:c r="F14" s="20" t="str">
        <x:v>multiple authors with Verfasser role | multiple original title groups merged</x:v>
      </x:c>
      <x:c r="G14" s="20" t="str">
        <x:v>Keep with a co-authored/anthology unit type only if the corpus author has an author role.</x:v>
      </x:c>
      <x:c r="H14" s="20" t="n">
        <x:v>2016</x:v>
      </x:c>
      <x:c r="I14" s="20" t="n">
        <x:v>2018</x:v>
      </x:c>
      <x:c r="J14" s="20" t="str">
        <x:v>ger</x:v>
      </x:c>
      <x:c r="K14" s="20" t="str">
        <x:v>co-authored work</x:v>
      </x:c>
      <x:c r="L14" s="20" t="str">
        <x:v>provisional German-original: DNB metadata</x:v>
      </x:c>
      <x:c r="M14" s="20" t="str">
        <x:v>navid-kermani-91f2d0973f | navid-kermani-fef8b38a74</x:v>
      </x:c>
      <x:c r="N14" s="20" t="str">
        <x:v>1098327357 | 1113593733 | 114983868X</x:v>
      </x:c>
      <x:c r="O14" s="21" t="str">
        <x:v>KEEP_ONE</x:v>
      </x:c>
      <x:c r="P14" s="21" t="str">
        <x:v>Contribution in: Die Bibel. Das Projekt</x:v>
      </x:c>
      <x:c r="Q14" s="21" t="str">
        <x:v>anthology contribution</x:v>
      </x:c>
      <x:c r="R14" s="21" t="str">
        <x:v>Kermani is named as one of the writers. The three records are CD and online versions of the same audio project, so I counted his part once.</x:v>
      </x:c>
    </x:row>
    <x:row r="15" ht="82" customHeight="1">
      <x:c r="A15" s="20" t="n">
        <x:v>8</x:v>
      </x:c>
      <x:c r="B15" s="20" t="str">
        <x:v>provisional work cluster</x:v>
      </x:c>
      <x:c r="C15" s="20" t="str">
        <x:v>Sudabeh Mohafez</x:v>
      </x:c>
      <x:c r="D15" s="20" t="str">
        <x:v>Anija Seedler, Sudabeh Mohafez</x:v>
      </x:c>
      <x:c r="E15" s="20" t="str">
        <x:v>REVIEW_REQUIRED</x:v>
      </x:c>
      <x:c r="F15" s="20" t="str">
        <x:v>multiple authors with Verfasser role | multiple original title groups merged</x:v>
      </x:c>
      <x:c r="G15" s="20" t="str">
        <x:v>Keep with a co-authored/anthology unit type only if the corpus author has an author role.</x:v>
      </x:c>
      <x:c r="H15" s="20" t="n">
        <x:v>2021</x:v>
      </x:c>
      <x:c r="I15" s="20" t="n">
        <x:v>2021</x:v>
      </x:c>
      <x:c r="J15" s="20" t="str">
        <x:v>ger</x:v>
      </x:c>
      <x:c r="K15" s="20" t="str">
        <x:v>co-authored work</x:v>
      </x:c>
      <x:c r="L15" s="20" t="str">
        <x:v>provisional German-original: DNB metadata</x:v>
      </x:c>
      <x:c r="M15" s="20" t="str">
        <x:v>sudabeh-mohafez-5ff0e32b1c | sudabeh-mohafez-c47712e465</x:v>
      </x:c>
      <x:c r="N15" s="20" t="str">
        <x:v>127521326X | 1275213286</x:v>
      </x:c>
      <x:c r="O15" s="21" t="str">
        <x:v>KEEP_ONE</x:v>
      </x:c>
      <x:c r="P15" s="21" t="str">
        <x:v>Schattenfraß – Ein Theatrum Mundi</x:v>
      </x:c>
      <x:c r="Q15" s="21" t="str">
        <x:v>co-authored work</x:v>
      </x:c>
      <x:c r="R15" s="21" t="str">
        <x:v>Both records have the same title and the same two authors. One is the normal EPUB and one is the enhanced EPUB, so I counted one work.</x:v>
      </x:c>
    </x:row>
    <x:row r="16" ht="82" customHeight="1">
      <x:c r="A16" s="20" t="n">
        <x:v>9</x:v>
      </x:c>
      <x:c r="B16" s="20" t="str">
        <x:v>provisional work cluster</x:v>
      </x:c>
      <x:c r="C16" s="20" t="str">
        <x:v>Navid Kermani</x:v>
      </x:c>
      <x:c r="D16" s="20" t="str">
        <x:v>Album</x:v>
      </x:c>
      <x:c r="E16" s="20" t="str">
        <x:v>REVIEW_REQUIRED</x:v>
      </x:c>
      <x:c r="F16" s="20" t="str">
        <x:v>possible collection containing component works | multiple original title groups merged</x:v>
      </x:c>
      <x:c r="G16" s="20" t="str">
        <x:v>Keep as a collection unit and do not merge its component titles automatically.</x:v>
      </x:c>
      <x:c r="H16" s="20" t="n">
        <x:v>2014</x:v>
      </x:c>
      <x:c r="I16" s="20" t="n">
        <x:v>2014</x:v>
      </x:c>
      <x:c r="J16" s="20" t="str">
        <x:v>ger</x:v>
      </x:c>
      <x:c r="K16" s="20" t="str">
        <x:v>collection</x:v>
      </x:c>
      <x:c r="L16" s="20" t="str">
        <x:v>provisional German-original: DNB metadata</x:v>
      </x:c>
      <x:c r="M16" s="20" t="str">
        <x:v>navid-kermani-0f4c58988e | navid-kermani-536183f831</x:v>
      </x:c>
      <x:c r="N16" s="20" t="str">
        <x:v>1051000807 | 1056858745</x:v>
      </x:c>
      <x:c r="O16" s="21" t="str">
        <x:v>KEEP_ONE</x:v>
      </x:c>
      <x:c r="P16" s="21" t="str">
        <x:v>Album</x:v>
      </x:c>
      <x:c r="Q16" s="21" t="str">
        <x:v>collection</x:v>
      </x:c>
      <x:c r="R16" s="21" t="str">
        <x:v>The two records are the print and e-book versions of the same collection. The four titles in the e-book record are contents of Album, so I did not count them again here.</x:v>
      </x:c>
    </x:row>
    <x:row r="17" ht="82" customHeight="1">
      <x:c r="A17" s="20" t="n">
        <x:v>10</x:v>
      </x:c>
      <x:c r="B17" s="20" t="str">
        <x:v>provisional work cluster</x:v>
      </x:c>
      <x:c r="C17" s="20" t="str">
        <x:v>Navid Kermani</x:v>
      </x:c>
      <x:c r="D17" s="20" t="str">
        <x:v>Das Alphabet bis S</x:v>
      </x:c>
      <x:c r="E17" s="20" t="str">
        <x:v>REVIEW_REQUIRED</x:v>
      </x:c>
      <x:c r="F17" s="20" t="str">
        <x:v>MARC variant title | multiple original title groups merged</x:v>
      </x:c>
      <x:c r="G17" s="20" t="str">
        <x:v>Check the cited DNB records and choose keep, split, exclude or needs-source.</x:v>
      </x:c>
      <x:c r="H17" s="20" t="n">
        <x:v>2023</x:v>
      </x:c>
      <x:c r="I17" s="20" t="n">
        <x:v>2025</x:v>
      </x:c>
      <x:c r="J17" s="20" t="str">
        <x:v>ger</x:v>
      </x:c>
      <x:c r="K17" s="20" t="str">
        <x:v>standalone work</x:v>
      </x:c>
      <x:c r="L17" s="20" t="str">
        <x:v>provisional German-original: DNB metadata</x:v>
      </x:c>
      <x:c r="M17" s="20" t="str">
        <x:v>navid-kermani-4de89603bb | navid-kermani-8d1bf6ee95</x:v>
      </x:c>
      <x:c r="N17" s="20" t="str">
        <x:v>1284417336 | 1286428718 | 1297631552 | 1345216343 | 1369580312</x:v>
      </x:c>
      <x:c r="O17" s="21" t="str">
        <x:v>KEEP_ONE</x:v>
      </x:c>
      <x:c r="P17" s="21" t="str">
        <x:v>Das Alphabet bis S</x:v>
      </x:c>
      <x:c r="Q17" s="21" t="str">
        <x:v>standalone work</x:v>
      </x:c>
      <x:c r="R17" s="21" t="str">
        <x:v>These are print, e-book and audiobook records of the same novel. The 2025 records are later formats or editions, so I counted one work.</x:v>
      </x:c>
    </x:row>
    <x:row r="18" ht="82" customHeight="1">
      <x:c r="A18" s="20" t="n">
        <x:v>11</x:v>
      </x:c>
      <x:c r="B18" s="20" t="str">
        <x:v>provisional work cluster</x:v>
      </x:c>
      <x:c r="C18" s="20" t="str">
        <x:v>Fahimeh Farsaie</x:v>
      </x:c>
      <x:c r="D18" s="20" t="str">
        <x:v>Eines Dienstags beschloss meine Mutter Deutsche zu werden</x:v>
      </x:c>
      <x:c r="E18" s="20" t="str">
        <x:v>REVIEW_REQUIRED</x:v>
      </x:c>
      <x:c r="F18" s="20" t="str">
        <x:v>multiple original title groups merged | split-year title variants</x:v>
      </x:c>
      <x:c r="G18" s="20" t="str">
        <x:v>Check the cited DNB records and choose keep, split, exclude or needs-source.</x:v>
      </x:c>
      <x:c r="H18" s="20" t="n">
        <x:v>2006</x:v>
      </x:c>
      <x:c r="I18" s="20" t="n">
        <x:v>2016</x:v>
      </x:c>
      <x:c r="J18" s="20" t="str">
        <x:v>ger</x:v>
      </x:c>
      <x:c r="K18" s="20" t="str">
        <x:v>standalone work</x:v>
      </x:c>
      <x:c r="L18" s="20" t="str">
        <x:v>provisional German-original: DNB metadata</x:v>
      </x:c>
      <x:c r="M18" s="20" t="str">
        <x:v>fahimeh-farsaie-3cedcc759b | fahimeh-farsaie-613936e994</x:v>
      </x:c>
      <x:c r="N18" s="20" t="str">
        <x:v>1060478412 | 1106898818 | 977584119</x:v>
      </x:c>
      <x:c r="O18" s="21" t="str">
        <x:v>KEEP_ONE</x:v>
      </x:c>
      <x:c r="P18" s="21" t="str">
        <x:v>Eines Dienstags beschloss meine Mutter Deutsche zu werden</x:v>
      </x:c>
      <x:c r="Q18" s="21" t="str">
        <x:v>standalone work</x:v>
      </x:c>
      <x:c r="R18" s="21" t="str">
        <x:v>The 2006, 2014 and 2016 records have the same title. The later records are an e-book and a new print edition, so I counted one work.</x:v>
      </x:c>
    </x:row>
    <x:row r="19" ht="82" customHeight="1">
      <x:c r="A19" s="20" t="n">
        <x:v>12</x:v>
      </x:c>
      <x:c r="B19" s="20" t="str">
        <x:v>provisional work cluster</x:v>
      </x:c>
      <x:c r="C19" s="20" t="str">
        <x:v>Nasrin Siege</x:v>
      </x:c>
      <x:c r="D19" s="20" t="str">
        <x:v>Die Piraten von Libertalia</x:v>
      </x:c>
      <x:c r="E19" s="20" t="str">
        <x:v>REVIEW_REQUIRED</x:v>
      </x:c>
      <x:c r="F19" s="20" t="str">
        <x:v>multiple original title groups merged | split-year title variants</x:v>
      </x:c>
      <x:c r="G19" s="20" t="str">
        <x:v>Check the cited DNB records and choose keep, split, exclude or needs-source.</x:v>
      </x:c>
      <x:c r="H19" s="20" t="n">
        <x:v>2009</x:v>
      </x:c>
      <x:c r="I19" s="20" t="n">
        <x:v>2022</x:v>
      </x:c>
      <x:c r="J19" s="20" t="str">
        <x:v>ger</x:v>
      </x:c>
      <x:c r="K19" s="20" t="str">
        <x:v>standalone work</x:v>
      </x:c>
      <x:c r="L19" s="20" t="str">
        <x:v>provisional German-original: DNB metadata</x:v>
      </x:c>
      <x:c r="M19" s="20" t="str">
        <x:v>nasrin-siege-5a554dfc96 | nasrin-siege-fb8f3d3988</x:v>
      </x:c>
      <x:c r="N19" s="20" t="str">
        <x:v>1176982370 | 1252644671 | 991317602</x:v>
      </x:c>
      <x:c r="O19" s="21" t="str">
        <x:v>KEEP_ONE</x:v>
      </x:c>
      <x:c r="P19" s="21" t="str">
        <x:v>Die Piraten von Libertalia</x:v>
      </x:c>
      <x:c r="Q19" s="21" t="str">
        <x:v>standalone work</x:v>
      </x:c>
      <x:c r="R19" s="21" t="str">
        <x:v>The title stays the same in all three records. The records show different editions and page counts, but no clear evidence of a substantially new text, so I counted one work.</x:v>
      </x:c>
    </x:row>
    <x:row r="20" ht="82" customHeight="1">
      <x:c r="A20" s="20" t="n">
        <x:v>13</x:v>
      </x:c>
      <x:c r="B20" s="20" t="str">
        <x:v>provisional work cluster</x:v>
      </x:c>
      <x:c r="C20" s="20" t="str">
        <x:v>Nasrin Siege</x:v>
      </x:c>
      <x:c r="D20" s="20" t="str">
        <x:v>Shirin</x:v>
      </x:c>
      <x:c r="E20" s="20" t="str">
        <x:v>REVIEW_REQUIRED</x:v>
      </x:c>
      <x:c r="F20" s="20" t="str">
        <x:v>multiple original title groups merged | split-year title variants</x:v>
      </x:c>
      <x:c r="G20" s="20" t="str">
        <x:v>Check the cited DNB records and choose keep, split, exclude or needs-source.</x:v>
      </x:c>
      <x:c r="H20" s="20" t="n">
        <x:v>1996</x:v>
      </x:c>
      <x:c r="I20" s="20" t="n">
        <x:v>2015</x:v>
      </x:c>
      <x:c r="J20" s="20" t="str">
        <x:v>ger</x:v>
      </x:c>
      <x:c r="K20" s="20" t="str">
        <x:v>standalone work</x:v>
      </x:c>
      <x:c r="L20" s="20" t="str">
        <x:v>provisional German-original: DNB metadata</x:v>
      </x:c>
      <x:c r="M20" s="20" t="str">
        <x:v>nasrin-siege-2d75d2a687 | nasrin-siege-66f7e2c38f</x:v>
      </x:c>
      <x:c r="N20" s="20" t="str">
        <x:v>1058339354 | 947000291</x:v>
      </x:c>
      <x:c r="O20" s="21" t="str">
        <x:v>SPLIT</x:v>
      </x:c>
      <x:c r="P20" s="21" t="str">
        <x:v>Shirin / Shirin – Wo gehöre ich hin?</x:v>
      </x:c>
      <x:c r="Q20" s="21" t="str">
        <x:v>standalone work</x:v>
      </x:c>
      <x:c r="R20" s="21" t="str">
        <x:v>Nasrin Siege’s website calls the 2015 book an ‘überarbeitete Neufassung’. I counted the 1996 version and the 2015 new version separately.</x:v>
      </x:c>
    </x:row>
    <x:row r="21" ht="82" customHeight="1">
      <x:c r="A21" s="20" t="n">
        <x:v>14</x:v>
      </x:c>
      <x:c r="B21" s="20" t="str">
        <x:v>provisional work cluster</x:v>
      </x:c>
      <x:c r="C21" s="20" t="str">
        <x:v>Navid Kermani</x:v>
      </x:c>
      <x:c r="D21" s="20" t="str">
        <x:v>Ayda, Bär und Hase</x:v>
      </x:c>
      <x:c r="E21" s="20" t="str">
        <x:v>REVIEW_REQUIRED</x:v>
      </x:c>
      <x:c r="F21" s="20" t="str">
        <x:v>multiple original title groups merged | split-year title variants</x:v>
      </x:c>
      <x:c r="G21" s="20" t="str">
        <x:v>Check the cited DNB records and choose keep, split, exclude or needs-source.</x:v>
      </x:c>
      <x:c r="H21" s="20" t="n">
        <x:v>2006</x:v>
      </x:c>
      <x:c r="I21" s="20" t="n">
        <x:v>2022</x:v>
      </x:c>
      <x:c r="J21" s="20" t="str">
        <x:v>ger</x:v>
      </x:c>
      <x:c r="K21" s="20" t="str">
        <x:v>standalone work</x:v>
      </x:c>
      <x:c r="L21" s="20" t="str">
        <x:v>provisional German-original: DNB metadata</x:v>
      </x:c>
      <x:c r="M21" s="20" t="str">
        <x:v>navid-kermani-327ec7c459 | navid-kermani-bdd8a36101</x:v>
      </x:c>
      <x:c r="N21" s="20" t="str">
        <x:v>1117481131 | 1117481603 | 1119466849 | 1122918283 | 115032869X | 1156669510 | 1264371802 | 977646696</x:v>
      </x:c>
      <x:c r="O21" s="21" t="str">
        <x:v>KEEP_ONE</x:v>
      </x:c>
      <x:c r="P21" s="21" t="str">
        <x:v>Ayda, Bär und Hase</x:v>
      </x:c>
      <x:c r="Q21" s="21" t="str">
        <x:v>standalone work</x:v>
      </x:c>
      <x:c r="R21" s="21" t="str">
        <x:v>The records are print, e-book and audiobook versions from 2006 to 2022. They all have the same story, so I counted one work.</x:v>
      </x:c>
    </x:row>
    <x:row r="22" ht="82" customHeight="1">
      <x:c r="A22" s="20" t="n">
        <x:v>15</x:v>
      </x:c>
      <x:c r="B22" s="20" t="str">
        <x:v>provisional work cluster</x:v>
      </x:c>
      <x:c r="C22" s="20" t="str">
        <x:v>SAID</x:v>
      </x:c>
      <x:c r="D22" s="20" t="str">
        <x:v>Wo ich sterbe ist meine Fremde</x:v>
      </x:c>
      <x:c r="E22" s="20" t="str">
        <x:v>REVIEW_REQUIRED</x:v>
      </x:c>
      <x:c r="F22" s="20" t="str">
        <x:v>multiple original title groups merged | split-year title variants</x:v>
      </x:c>
      <x:c r="G22" s="20" t="str">
        <x:v>Check the cited DNB records and choose keep, split, exclude or needs-source.</x:v>
      </x:c>
      <x:c r="H22" s="20" t="n">
        <x:v>1983</x:v>
      </x:c>
      <x:c r="I22" s="20" t="n">
        <x:v>2000</x:v>
      </x:c>
      <x:c r="J22" s="20" t="str">
        <x:v>ger</x:v>
      </x:c>
      <x:c r="K22" s="20" t="str">
        <x:v>standalone work</x:v>
      </x:c>
      <x:c r="L22" s="20" t="str">
        <x:v>provisional German-original: DNB metadata</x:v>
      </x:c>
      <x:c r="M22" s="20" t="str">
        <x:v>said-627aec6fea | said-8187241db9 | said-fcfb38176d</x:v>
      </x:c>
      <x:c r="N22" s="20" t="str">
        <x:v>830939237 | 860126501 | 880322845 | 948097205 | 961015845</x:v>
      </x:c>
      <x:c r="O22" s="21" t="str">
        <x:v>KEEP_ONE</x:v>
      </x:c>
      <x:c r="P22" s="21" t="str">
        <x:v>Wo ich sterbe ist meine Fremde</x:v>
      </x:c>
      <x:c r="Q22" s="21" t="str">
        <x:v>standalone work</x:v>
      </x:c>
      <x:c r="R22" s="21" t="str">
        <x:v>The 1987 edition adds a conversation with Gino Chiellino to the same poetry collection. I treated the interview as added material and counted one work.</x:v>
      </x:c>
    </x:row>
    <x:row r="23" ht="82" customHeight="1">
      <x:c r="A23" s="20" t="n">
        <x:v>16</x:v>
      </x:c>
      <x:c r="B23" s="20" t="str">
        <x:v>provisional work cluster</x:v>
      </x:c>
      <x:c r="C23" s="20" t="str">
        <x:v>May Atashkar</x:v>
      </x:c>
      <x:c r="D23" s="20" t="str">
        <x:v>Ein Himmel tausend Sterne</x:v>
      </x:c>
      <x:c r="E23" s="20" t="str">
        <x:v>REVIEW_REQUIRED</x:v>
      </x:c>
      <x:c r="F23" s="20" t="str">
        <x:v>thin evidence author</x:v>
      </x:c>
      <x:c r="G23" s="20" t="str">
        <x:v>Keep as provisional German-original and retain the evidence limitation.</x:v>
      </x:c>
      <x:c r="H23" s="20" t="n">
        <x:v>2012</x:v>
      </x:c>
      <x:c r="I23" s="20" t="n">
        <x:v>2012</x:v>
      </x:c>
      <x:c r="J23" s="20" t="str">
        <x:v>ger</x:v>
      </x:c>
      <x:c r="K23" s="20" t="str">
        <x:v>standalone work</x:v>
      </x:c>
      <x:c r="L23" s="20" t="str">
        <x:v>provisional German-original: DNB metadata</x:v>
      </x:c>
      <x:c r="M23" s="20" t="str">
        <x:v>may-atashkar-fbfc61e733</x:v>
      </x:c>
      <x:c r="N23" s="20" t="str">
        <x:v>1026743990</x:v>
      </x:c>
      <x:c r="O23" s="21" t="str">
        <x:v>KEEP_ONE</x:v>
      </x:c>
      <x:c r="P23" s="21" t="str">
        <x:v>Ein Himmel tausend Sterne</x:v>
      </x:c>
      <x:c r="Q23" s="21" t="str">
        <x:v>standalone work</x:v>
      </x:c>
      <x:c r="R23" s="21" t="str">
        <x:v>Based on the DNB record, this is a German book and no translator is named. I kept the German-original status as provisional.</x:v>
      </x:c>
    </x:row>
    <x:row r="24" ht="82" customHeight="1">
      <x:c r="A24" s="20" t="n">
        <x:v>17</x:v>
      </x:c>
      <x:c r="B24" s="20" t="str">
        <x:v>provisional work cluster</x:v>
      </x:c>
      <x:c r="C24" s="20" t="str">
        <x:v>Mehrnousch Zaeri-Esfahani</x:v>
      </x:c>
      <x:c r="D24" s="20" t="str">
        <x:v>Ein Liekesch für Jascha</x:v>
      </x:c>
      <x:c r="E24" s="20" t="str">
        <x:v>REVIEW_REQUIRED</x:v>
      </x:c>
      <x:c r="F24" s="20" t="str">
        <x:v>multiple authors with Verfasser role</x:v>
      </x:c>
      <x:c r="G24" s="20" t="str">
        <x:v>Keep with a co-authored/anthology unit type only if the corpus author has an author role.</x:v>
      </x:c>
      <x:c r="H24" s="20" t="n">
        <x:v>2025</x:v>
      </x:c>
      <x:c r="I24" s="20" t="n">
        <x:v>2025</x:v>
      </x:c>
      <x:c r="J24" s="20" t="str">
        <x:v>ger</x:v>
      </x:c>
      <x:c r="K24" s="20" t="str">
        <x:v>co-authored work</x:v>
      </x:c>
      <x:c r="L24" s="20" t="str">
        <x:v>provisional German-original: DNB metadata</x:v>
      </x:c>
      <x:c r="M24" s="20" t="str">
        <x:v>mehrnousch-zaeri-esfahan-1e437aa548</x:v>
      </x:c>
      <x:c r="N24" s="20" t="str">
        <x:v>1345703317</x:v>
      </x:c>
      <x:c r="O24" s="21" t="str">
        <x:v>KEEP_ONE</x:v>
      </x:c>
      <x:c r="P24" s="21" t="str">
        <x:v>Ein Liekesch für Jascha</x:v>
      </x:c>
      <x:c r="Q24" s="21" t="str">
        <x:v>co-authored work</x:v>
      </x:c>
      <x:c r="R24" s="21" t="str">
        <x:v>Zaeri-Esfahani and Frauke Angel are both named as authors. Barbara Jung is the illustrator, so I counted this as one co-authored work.</x:v>
      </x:c>
    </x:row>
    <x:row r="25" ht="82" customHeight="1">
      <x:c r="A25" s="20" t="n">
        <x:v>18</x:v>
      </x:c>
      <x:c r="B25" s="20" t="str">
        <x:v>provisional work cluster</x:v>
      </x:c>
      <x:c r="C25" s="20" t="str">
        <x:v>Mehrnousch Zaeri-Esfahani</x:v>
      </x:c>
      <x:c r="D25" s="20" t="str">
        <x:v>Wer tanzt schon gern allein?</x:v>
      </x:c>
      <x:c r="E25" s="20" t="str">
        <x:v>REVIEW_REQUIRED</x:v>
      </x:c>
      <x:c r="F25" s="20" t="str">
        <x:v>multiple authors with Verfasser role</x:v>
      </x:c>
      <x:c r="G25" s="20" t="str">
        <x:v>Keep with a co-authored/anthology unit type only if the corpus author has an author role.</x:v>
      </x:c>
      <x:c r="H25" s="20" t="n">
        <x:v>2020</x:v>
      </x:c>
      <x:c r="I25" s="20" t="n">
        <x:v>2020</x:v>
      </x:c>
      <x:c r="J25" s="20" t="str">
        <x:v>ger</x:v>
      </x:c>
      <x:c r="K25" s="20" t="str">
        <x:v>co-authored work</x:v>
      </x:c>
      <x:c r="L25" s="20" t="str">
        <x:v>provisional German-original: DNB metadata</x:v>
      </x:c>
      <x:c r="M25" s="20" t="str">
        <x:v>mehrnousch-zaeri-esfahan-4d71bca831</x:v>
      </x:c>
      <x:c r="N25" s="20" t="str">
        <x:v>1199560677</x:v>
      </x:c>
      <x:c r="O25" s="21" t="str">
        <x:v>KEEP_ONE</x:v>
      </x:c>
      <x:c r="P25" s="21" t="str">
        <x:v>Mage mishe? (in: Wer tanzt schon gern allein?)</x:v>
      </x:c>
      <x:c r="Q25" s="21" t="str">
        <x:v>anthology contribution</x:v>
      </x:c>
      <x:c r="R25" s="21" t="str">
        <x:v>DNB lists Zaeri-Esfahani as one of several authors. Her author profile confirms that her contribution is ‘Mage mishe?’, so I counted her contribution and not the whole anthology.</x:v>
      </x:c>
    </x:row>
    <x:row r="26" ht="82" customHeight="1">
      <x:c r="A26" s="20" t="n">
        <x:v>19</x:v>
      </x:c>
      <x:c r="B26" s="20" t="str">
        <x:v>provisional work cluster</x:v>
      </x:c>
      <x:c r="C26" s="20" t="str">
        <x:v>Navid Kermani</x:v>
      </x:c>
      <x:c r="D26" s="20" t="str">
        <x:v>Den lieb ich, der Unmögliches begehrt</x:v>
      </x:c>
      <x:c r="E26" s="20" t="str">
        <x:v>REVIEW_REQUIRED</x:v>
      </x:c>
      <x:c r="F26" s="20" t="str">
        <x:v>multiple authors with Verfasser role</x:v>
      </x:c>
      <x:c r="G26" s="20" t="str">
        <x:v>Keep with a co-authored/anthology unit type only if the corpus author has an author role.</x:v>
      </x:c>
      <x:c r="H26" s="20" t="n">
        <x:v>2016</x:v>
      </x:c>
      <x:c r="I26" s="20" t="n">
        <x:v>2016</x:v>
      </x:c>
      <x:c r="J26" s="20" t="str">
        <x:v>ger</x:v>
      </x:c>
      <x:c r="K26" s="20" t="str">
        <x:v>co-authored work</x:v>
      </x:c>
      <x:c r="L26" s="20" t="str">
        <x:v>provisional German-original: DNB metadata</x:v>
      </x:c>
      <x:c r="M26" s="20" t="str">
        <x:v>navid-kermani-4a1b4d71d9</x:v>
      </x:c>
      <x:c r="N26" s="20" t="str">
        <x:v>1114747963</x:v>
      </x:c>
      <x:c r="O26" s="21" t="str">
        <x:v>EXCLUDE</x:v>
      </x:c>
      <x:c r="P26" s="21" t="str">
        <x:v>Den lieb ich, der Unmögliches begehrt / Jeder Mensch eine Menschheit</x:v>
      </x:c>
      <x:c r="Q26" s="21" t="str">
        <x:v>anthology contribution</x:v>
      </x:c>
      <x:c r="R26" s="21" t="str">
        <x:v>This record contains Mosebach’s laudation and Kermani’s Dankrede. The same two texts also appear in the next row, so I did not count them twice.</x:v>
      </x:c>
    </x:row>
    <x:row r="27" ht="82" customHeight="1">
      <x:c r="A27" s="20" t="n">
        <x:v>20</x:v>
      </x:c>
      <x:c r="B27" s="20" t="str">
        <x:v>provisional work cluster</x:v>
      </x:c>
      <x:c r="C27" s="20" t="str">
        <x:v>Navid Kermani</x:v>
      </x:c>
      <x:c r="D27" s="20" t="str">
        <x:v>Jeder Mensch eine Menschheit</x:v>
      </x:c>
      <x:c r="E27" s="20" t="str">
        <x:v>REVIEW_REQUIRED</x:v>
      </x:c>
      <x:c r="F27" s="20" t="str">
        <x:v>multiple authors with Verfasser role</x:v>
      </x:c>
      <x:c r="G27" s="20" t="str">
        <x:v>Keep with a co-authored/anthology unit type only if the corpus author has an author role.</x:v>
      </x:c>
      <x:c r="H27" s="20" t="n">
        <x:v>2015</x:v>
      </x:c>
      <x:c r="I27" s="20" t="n">
        <x:v>2015</x:v>
      </x:c>
      <x:c r="J27" s="20" t="str">
        <x:v>ger</x:v>
      </x:c>
      <x:c r="K27" s="20" t="str">
        <x:v>co-authored work</x:v>
      </x:c>
      <x:c r="L27" s="20" t="str">
        <x:v>provisional German-original: DNB metadata</x:v>
      </x:c>
      <x:c r="M27" s="20" t="str">
        <x:v>navid-kermani-233f06ab05</x:v>
      </x:c>
      <x:c r="N27" s="20" t="str">
        <x:v>1077704763</x:v>
      </x:c>
      <x:c r="O27" s="21" t="str">
        <x:v>KEEP_ONE</x:v>
      </x:c>
      <x:c r="P27" s="21" t="str">
        <x:v>Jeder Mensch eine Menschheit</x:v>
      </x:c>
      <x:c r="Q27" s="21" t="str">
        <x:v>anthology contribution</x:v>
      </x:c>
      <x:c r="R27" s="21" t="str">
        <x:v>Kermani wrote the Dankrede and Mosebach wrote the laudation. They are separate texts in one publication, so I counted Kermani’s text as one contribution.</x:v>
      </x:c>
    </x:row>
    <x:row r="28" ht="82" customHeight="1">
      <x:c r="A28" s="20" t="n">
        <x:v>21</x:v>
      </x:c>
      <x:c r="B28" s="20" t="str">
        <x:v>provisional work cluster</x:v>
      </x:c>
      <x:c r="C28" s="20" t="str">
        <x:v>Navid Kermani</x:v>
      </x:c>
      <x:c r="D28" s="20" t="str">
        <x:v>Toleranz</x:v>
      </x:c>
      <x:c r="E28" s="20" t="str">
        <x:v>REVIEW_REQUIRED</x:v>
      </x:c>
      <x:c r="F28" s="20" t="str">
        <x:v>multiple authors with Verfasser role</x:v>
      </x:c>
      <x:c r="G28" s="20" t="str">
        <x:v>Keep with a co-authored/anthology unit type only if the corpus author has an author role.</x:v>
      </x:c>
      <x:c r="H28" s="20" t="n">
        <x:v>2016</x:v>
      </x:c>
      <x:c r="I28" s="20" t="n">
        <x:v>2016</x:v>
      </x:c>
      <x:c r="J28" s="20" t="str">
        <x:v>ger</x:v>
      </x:c>
      <x:c r="K28" s="20" t="str">
        <x:v>co-authored work</x:v>
      </x:c>
      <x:c r="L28" s="20" t="str">
        <x:v>provisional German-original: DNB metadata</x:v>
      </x:c>
      <x:c r="M28" s="20" t="str">
        <x:v>navid-kermani-4166e0c28d</x:v>
      </x:c>
      <x:c r="N28" s="20" t="str">
        <x:v>109959913X | 1099599164</x:v>
      </x:c>
      <x:c r="O28" s="21" t="str">
        <x:v>KEEP_ONE</x:v>
      </x:c>
      <x:c r="P28" s="21" t="str">
        <x:v>Contribution in: Toleranz</x:v>
      </x:c>
      <x:c r="Q28" s="21" t="str">
        <x:v>anthology contribution</x:v>
      </x:c>
      <x:c r="R28" s="21" t="str">
        <x:v>Toleranz contains three separate readings by three authors. I counted Kermani’s text as one contribution, not as a jointly written work.</x:v>
      </x:c>
    </x:row>
    <x:row r="29" ht="82" customHeight="1">
      <x:c r="A29" s="20" t="n">
        <x:v>22</x:v>
      </x:c>
      <x:c r="B29" s="20" t="str">
        <x:v>provisional work cluster</x:v>
      </x:c>
      <x:c r="C29" s="20" t="str">
        <x:v>Noshin Shahrokhi</x:v>
      </x:c>
      <x:c r="D29" s="20" t="str">
        <x:v>Unerfüllte Träume einer Iranerin</x:v>
      </x:c>
      <x:c r="E29" s="20" t="str">
        <x:v>REVIEW_REQUIRED</x:v>
      </x:c>
      <x:c r="F29" s="20" t="str">
        <x:v>thin evidence author</x:v>
      </x:c>
      <x:c r="G29" s="20" t="str">
        <x:v>Keep as provisional German-original and retain the evidence limitation.</x:v>
      </x:c>
      <x:c r="H29" s="20" t="n">
        <x:v>2008</x:v>
      </x:c>
      <x:c r="I29" s="20" t="n">
        <x:v>2008</x:v>
      </x:c>
      <x:c r="J29" s="20" t="str">
        <x:v>ger</x:v>
      </x:c>
      <x:c r="K29" s="20" t="str">
        <x:v>standalone work</x:v>
      </x:c>
      <x:c r="L29" s="20" t="str">
        <x:v>provisional German-original: DNB metadata</x:v>
      </x:c>
      <x:c r="M29" s="20" t="str">
        <x:v>noshin-shahrokhi-a29aa5dd6c</x:v>
      </x:c>
      <x:c r="N29" s="20" t="str">
        <x:v>987294431</x:v>
      </x:c>
      <x:c r="O29" s="21" t="str">
        <x:v>KEEP_ONE</x:v>
      </x:c>
      <x:c r="P29" s="21" t="str">
        <x:v>Unerfüllte Träume einer Iranerin</x:v>
      </x:c>
      <x:c r="Q29" s="21" t="str">
        <x:v>standalone work</x:v>
      </x:c>
      <x:c r="R29" s="21" t="str">
        <x:v>Based on the DNB record, this is a German novel and no translator is named. I kept the German-original status as provisional.</x:v>
      </x:c>
    </x:row>
    <x:row r="30" ht="82" customHeight="1">
      <x:c r="A30" s="20" t="n">
        <x:v>23</x:v>
      </x:c>
      <x:c r="B30" s="20" t="str">
        <x:v>provisional work cluster</x:v>
      </x:c>
      <x:c r="C30" s="20" t="str">
        <x:v>Shani Katayun</x:v>
      </x:c>
      <x:c r="D30" s="20" t="str">
        <x:v>Augen in Teheran</x:v>
      </x:c>
      <x:c r="E30" s="20" t="str">
        <x:v>REVIEW_REQUIRED</x:v>
      </x:c>
      <x:c r="F30" s="20" t="str">
        <x:v>thin evidence author</x:v>
      </x:c>
      <x:c r="G30" s="20" t="str">
        <x:v>Keep as provisional German-original and retain the evidence limitation.</x:v>
      </x:c>
      <x:c r="H30" s="20" t="n">
        <x:v>2008</x:v>
      </x:c>
      <x:c r="I30" s="20" t="n">
        <x:v>2008</x:v>
      </x:c>
      <x:c r="J30" s="20" t="str">
        <x:v>ger</x:v>
      </x:c>
      <x:c r="K30" s="20" t="str">
        <x:v>standalone work</x:v>
      </x:c>
      <x:c r="L30" s="20" t="str">
        <x:v>provisional German-original: DNB metadata</x:v>
      </x:c>
      <x:c r="M30" s="20" t="str">
        <x:v>shani-katayun-c7133d96c2</x:v>
      </x:c>
      <x:c r="N30" s="20" t="str">
        <x:v>986883255</x:v>
      </x:c>
      <x:c r="O30" s="21" t="str">
        <x:v>KEEP_ONE</x:v>
      </x:c>
      <x:c r="P30" s="21" t="str">
        <x:v>Augen in Teheran</x:v>
      </x:c>
      <x:c r="Q30" s="21" t="str">
        <x:v>standalone work</x:v>
      </x:c>
      <x:c r="R30" s="21" t="str">
        <x:v>Based on the DNB record, this is a German novel and no translator is named. I kept the German-original status as provisional.</x:v>
      </x:c>
    </x:row>
    <x:row r="31" ht="82" customHeight="1">
      <x:c r="A31" s="20" t="n">
        <x:v>24</x:v>
      </x:c>
      <x:c r="B31" s="20" t="str">
        <x:v>provisional work cluster</x:v>
      </x:c>
      <x:c r="C31" s="20" t="str">
        <x:v>Shida Bazyar</x:v>
      </x:c>
      <x:c r="D31" s="20" t="str">
        <x:v>Networking Remarque</x:v>
      </x:c>
      <x:c r="E31" s="20" t="str">
        <x:v>REVIEW_REQUIRED</x:v>
      </x:c>
      <x:c r="F31" s="20" t="str">
        <x:v>multiple authors with Verfasser role</x:v>
      </x:c>
      <x:c r="G31" s="20" t="str">
        <x:v>Keep with a co-authored/anthology unit type only if the corpus author has an author role.</x:v>
      </x:c>
      <x:c r="H31" s="20" t="n">
        <x:v>2024</x:v>
      </x:c>
      <x:c r="I31" s="20" t="n">
        <x:v>2024</x:v>
      </x:c>
      <x:c r="J31" s="20" t="str">
        <x:v>ger</x:v>
      </x:c>
      <x:c r="K31" s="20" t="str">
        <x:v>co-authored work</x:v>
      </x:c>
      <x:c r="L31" s="20" t="str">
        <x:v>provisional German-original: DNB metadata</x:v>
      </x:c>
      <x:c r="M31" s="20" t="str">
        <x:v>shida-bazyar-40b1e3284e</x:v>
      </x:c>
      <x:c r="N31" s="20" t="str">
        <x:v>1318623588</x:v>
      </x:c>
      <x:c r="O31" s="21" t="str">
        <x:v>KEEP_ONE</x:v>
      </x:c>
      <x:c r="P31" s="21" t="str">
        <x:v>Von Kameradin zu Kamerad (in: Networking Remarque)</x:v>
      </x:c>
      <x:c r="Q31" s="21" t="str">
        <x:v>anthology contribution</x:v>
      </x:c>
      <x:c r="R31" s="21" t="str">
        <x:v>DNB lists Bazyar as one of the authors and its table of contents identifies her text as ‘Von Kameradin zu Kamerad’. The City of Osnabrück page confirms the same title, so I counted her contribution and not the whole publication.</x:v>
      </x:c>
    </x:row>
    <x:row r="32" ht="82" customHeight="1">
      <x:c r="A32" s="20" t="n">
        <x:v>25</x:v>
      </x:c>
      <x:c r="B32" s="20" t="str">
        <x:v>provisional work cluster</x:v>
      </x:c>
      <x:c r="C32" s="20" t="str">
        <x:v>Fahimeh Farsaie</x:v>
      </x:c>
      <x:c r="D32" s="20" t="str">
        <x:v>Zamāna-i masmūm</x:v>
      </x:c>
      <x:c r="E32" s="20" t="str">
        <x:v>REVIEW_REQUIRED</x:v>
      </x:c>
      <x:c r="F32" s="20" t="str">
        <x:v>MARC variant title</x:v>
      </x:c>
      <x:c r="G32" s="20" t="str">
        <x:v>Check the cited DNB records and choose keep, split, exclude or needs-source.</x:v>
      </x:c>
      <x:c r="H32" s="20" t="n">
        <x:v>1992</x:v>
      </x:c>
      <x:c r="I32" s="20" t="n">
        <x:v>1992</x:v>
      </x:c>
      <x:c r="J32" s="20" t="str">
        <x:v>ger</x:v>
      </x:c>
      <x:c r="K32" s="20" t="str">
        <x:v>standalone work</x:v>
      </x:c>
      <x:c r="L32" s="20" t="str">
        <x:v>provisional German-original: DNB metadata</x:v>
      </x:c>
      <x:c r="M32" s="20" t="str">
        <x:v>fahimeh-farsaie-0590becb78</x:v>
      </x:c>
      <x:c r="N32" s="20" t="str">
        <x:v>931058414</x:v>
      </x:c>
      <x:c r="O32" s="21" t="str">
        <x:v>EXCLUDE</x:v>
      </x:c>
      <x:c r="P32" s="21" t="str">
        <x:v>Zamāna-i masmūm / Vergiftete Zeit</x:v>
      </x:c>
      <x:c r="Q32" s="21" t="str">
        <x:v>standalone work</x:v>
      </x:c>
      <x:c r="R32" s="21" t="str">
        <x:v>The taz review confirms that the work was written in Farsi. The DNB record here is a separate 1992 IKW edition with a Persian parallel title, so I excluded it from the German-original count.</x:v>
      </x:c>
    </x:row>
    <x:row r="33" ht="82" customHeight="1">
      <x:c r="A33" s="20" t="n">
        <x:v>26</x:v>
      </x:c>
      <x:c r="B33" s="20" t="str">
        <x:v>provisional work cluster</x:v>
      </x:c>
      <x:c r="C33" s="20" t="str">
        <x:v>Mehrnousch Zaeri-Esfahani</x:v>
      </x:c>
      <x:c r="D33" s="20" t="str">
        <x:v>Wenn das so einfach wäre = Kāš bih hamīn rāḥatī būd</x:v>
      </x:c>
      <x:c r="E33" s="20" t="str">
        <x:v>REVIEW_REQUIRED</x:v>
      </x:c>
      <x:c r="F33" s="20" t="str">
        <x:v>MARC variant title</x:v>
      </x:c>
      <x:c r="G33" s="20" t="str">
        <x:v>Check the cited DNB records and choose keep, split, exclude or needs-source.</x:v>
      </x:c>
      <x:c r="H33" s="20" t="n">
        <x:v>2018</x:v>
      </x:c>
      <x:c r="I33" s="20" t="n">
        <x:v>2018</x:v>
      </x:c>
      <x:c r="J33" s="20" t="str">
        <x:v>ger</x:v>
      </x:c>
      <x:c r="K33" s="20" t="str">
        <x:v>standalone work</x:v>
      </x:c>
      <x:c r="L33" s="20" t="str">
        <x:v>provisional German-original: DNB metadata</x:v>
      </x:c>
      <x:c r="M33" s="20" t="str">
        <x:v>mehrnousch-zaeri-esfahan-3359dab2ae</x:v>
      </x:c>
      <x:c r="N33" s="20" t="str">
        <x:v>1189945584</x:v>
      </x:c>
      <x:c r="O33" s="21" t="str">
        <x:v>KEEP_ONE</x:v>
      </x:c>
      <x:c r="P33" s="21" t="str">
        <x:v>Wenn das so einfach wäre</x:v>
      </x:c>
      <x:c r="Q33" s="21" t="str">
        <x:v>standalone work</x:v>
      </x:c>
      <x:c r="R33" s="21" t="str">
        <x:v>This is one German-Persian book. The record says the Persian text was translated from German, so I counted it as one German-original work.</x:v>
      </x:c>
    </x:row>
    <x:row r="34" ht="82" customHeight="1">
      <x:c r="A34" s="20" t="n">
        <x:v>27</x:v>
      </x:c>
      <x:c r="B34" s="20" t="str">
        <x:v>provisional work cluster</x:v>
      </x:c>
      <x:c r="C34" s="20" t="str">
        <x:v>Amir Gudarzi</x:v>
      </x:c>
      <x:c r="D34" s="20" t="str">
        <x:v>Das Ende ist nah</x:v>
      </x:c>
      <x:c r="E34" s="20" t="str">
        <x:v>REVIEW_REQUIRED</x:v>
      </x:c>
      <x:c r="F34" s="20" t="str">
        <x:v>multiple original title groups merged</x:v>
      </x:c>
      <x:c r="G34" s="20" t="str">
        <x:v>Check the cited DNB records and choose keep, split, exclude or needs-source.</x:v>
      </x:c>
      <x:c r="H34" s="20" t="n">
        <x:v>2023</x:v>
      </x:c>
      <x:c r="I34" s="20" t="n">
        <x:v>2023</x:v>
      </x:c>
      <x:c r="J34" s="20" t="str">
        <x:v>ger</x:v>
      </x:c>
      <x:c r="K34" s="20" t="str">
        <x:v>standalone work</x:v>
      </x:c>
      <x:c r="L34" s="20" t="str">
        <x:v>verified German-original</x:v>
      </x:c>
      <x:c r="M34" s="20" t="str">
        <x:v>amir-gudarzi-29a8792233 | amir-gudarzi-b1637201a9</x:v>
      </x:c>
      <x:c r="N34" s="20" t="str">
        <x:v>1255396741 | 1299652808</x:v>
      </x:c>
      <x:c r="O34" s="21" t="str">
        <x:v>KEEP_ONE</x:v>
      </x:c>
      <x:c r="P34" s="21" t="str">
        <x:v>Das Ende ist nah</x:v>
      </x:c>
      <x:c r="Q34" s="21" t="str">
        <x:v>standalone work</x:v>
      </x:c>
      <x:c r="R34" s="21" t="str">
        <x:v>Both records are the same novel by Amir Gudarzi, published by dtv in 2023. One is a printed book and the other is an EPUB, so I counted them as one work.</x:v>
      </x:c>
    </x:row>
    <x:row r="35" ht="82" customHeight="1">
      <x:c r="A35" s="20" t="n">
        <x:v>28</x:v>
      </x:c>
      <x:c r="B35" s="20" t="str">
        <x:v>provisional work cluster</x:v>
      </x:c>
      <x:c r="C35" s="20" t="str">
        <x:v>Behzad Karim Khani</x:v>
      </x:c>
      <x:c r="D35" s="20" t="str">
        <x:v>Als wir Schwäne waren</x:v>
      </x:c>
      <x:c r="E35" s="20" t="str">
        <x:v>REVIEW_REQUIRED</x:v>
      </x:c>
      <x:c r="F35" s="20" t="str">
        <x:v>multiple original title groups merged</x:v>
      </x:c>
      <x:c r="G35" s="20" t="str">
        <x:v>Check the cited DNB records and choose keep, split, exclude or needs-source.</x:v>
      </x:c>
      <x:c r="H35" s="20" t="n">
        <x:v>2024</x:v>
      </x:c>
      <x:c r="I35" s="20" t="n">
        <x:v>2026</x:v>
      </x:c>
      <x:c r="J35" s="20" t="str">
        <x:v>ger</x:v>
      </x:c>
      <x:c r="K35" s="20" t="str">
        <x:v>standalone work</x:v>
      </x:c>
      <x:c r="L35" s="20" t="str">
        <x:v>provisional German-original: DNB metadata</x:v>
      </x:c>
      <x:c r="M35" s="20" t="str">
        <x:v>behzad-karim-khani-303872bd50 | behzad-karim-khani-8e76d35d4a</x:v>
      </x:c>
      <x:c r="N35" s="20" t="str">
        <x:v>1323574328 | 1337076155 | 1378668693</x:v>
      </x:c>
      <x:c r="O35" s="21" t="str">
        <x:v>KEEP_ONE</x:v>
      </x:c>
      <x:c r="P35" s="21" t="str">
        <x:v>Als wir Schwäne waren</x:v>
      </x:c>
      <x:c r="Q35" s="21" t="str">
        <x:v>standalone work</x:v>
      </x:c>
      <x:c r="R35" s="21" t="str">
        <x:v>The 2024 records are the print and e-book versions. The 2026 record is the paperback edition of the same novel, so I counted one work.</x:v>
      </x:c>
    </x:row>
    <x:row r="36" ht="82" customHeight="1">
      <x:c r="A36" s="20" t="n">
        <x:v>29</x:v>
      </x:c>
      <x:c r="B36" s="20" t="str">
        <x:v>provisional work cluster</x:v>
      </x:c>
      <x:c r="C36" s="20" t="str">
        <x:v>Hengameh Yaghoobifarah</x:v>
      </x:c>
      <x:c r="D36" s="20" t="str">
        <x:v>Ministerium der Träume</x:v>
      </x:c>
      <x:c r="E36" s="20" t="str">
        <x:v>REVIEW_REQUIRED</x:v>
      </x:c>
      <x:c r="F36" s="20" t="str">
        <x:v>multiple original title groups merged</x:v>
      </x:c>
      <x:c r="G36" s="20" t="str">
        <x:v>Check the cited DNB records and choose keep, split, exclude or needs-source.</x:v>
      </x:c>
      <x:c r="H36" s="20" t="n">
        <x:v>2021</x:v>
      </x:c>
      <x:c r="I36" s="20" t="n">
        <x:v>2022</x:v>
      </x:c>
      <x:c r="J36" s="20" t="str">
        <x:v>ger</x:v>
      </x:c>
      <x:c r="K36" s="20" t="str">
        <x:v>standalone work</x:v>
      </x:c>
      <x:c r="L36" s="20" t="str">
        <x:v>verified German-original</x:v>
      </x:c>
      <x:c r="M36" s="20" t="str">
        <x:v>hengameh-yaghoobifarah-0712aa95af | hengameh-yaghoobifarah-56f0109612</x:v>
      </x:c>
      <x:c r="N36" s="20" t="str">
        <x:v>122173668X | 1223611736 | 1224438329 | 1227186797 | 1255135301 | 126439554X</x:v>
      </x:c>
      <x:c r="O36" s="21" t="str">
        <x:v>KEEP_ONE</x:v>
      </x:c>
      <x:c r="P36" s="21" t="str">
        <x:v>Ministerium der Träume</x:v>
      </x:c>
      <x:c r="Q36" s="21" t="str">
        <x:v>standalone work</x:v>
      </x:c>
      <x:c r="R36" s="21" t="str">
        <x:v>These records are print, e-book and audiobook versions of the same novel. One audiobook is shortened, but it is still the same work, so I counted it once.</x:v>
      </x:c>
    </x:row>
    <x:row r="37" ht="82" customHeight="1">
      <x:c r="A37" s="20" t="n">
        <x:v>30</x:v>
      </x:c>
      <x:c r="B37" s="20" t="str">
        <x:v>provisional work cluster</x:v>
      </x:c>
      <x:c r="C37" s="20" t="str">
        <x:v>Nava Ebrahimi</x:v>
      </x:c>
      <x:c r="D37" s="20" t="str">
        <x:v>Und Federn überall</x:v>
      </x:c>
      <x:c r="E37" s="20" t="str">
        <x:v>REVIEW_REQUIRED</x:v>
      </x:c>
      <x:c r="F37" s="20" t="str">
        <x:v>multiple original title groups merged</x:v>
      </x:c>
      <x:c r="G37" s="20" t="str">
        <x:v>Check the cited DNB records and choose keep, split, exclude or needs-source.</x:v>
      </x:c>
      <x:c r="H37" s="20" t="n">
        <x:v>2025</x:v>
      </x:c>
      <x:c r="I37" s="20" t="n">
        <x:v>2025</x:v>
      </x:c>
      <x:c r="J37" s="20" t="str">
        <x:v>ger</x:v>
      </x:c>
      <x:c r="K37" s="20" t="str">
        <x:v>standalone work</x:v>
      </x:c>
      <x:c r="L37" s="20" t="str">
        <x:v>provisional German-original: DNB metadata</x:v>
      </x:c>
      <x:c r="M37" s="20" t="str">
        <x:v>nava-ebrahimi-8551e60e56 | nava-ebrahimi-cb657c0f1c</x:v>
      </x:c>
      <x:c r="N37" s="20" t="str">
        <x:v>1361913916 | 1374673633</x:v>
      </x:c>
      <x:c r="O37" s="21" t="str">
        <x:v>KEEP_ONE</x:v>
      </x:c>
      <x:c r="P37" s="21" t="str">
        <x:v>Und Federn überall</x:v>
      </x:c>
      <x:c r="Q37" s="21" t="str">
        <x:v>standalone work</x:v>
      </x:c>
      <x:c r="R37" s="21" t="str">
        <x:v>The two records are the print and e-book versions of the same 2025 novel, so I counted one work.</x:v>
      </x:c>
    </x:row>
  </x:sheetData>
  <x:mergeCells>
    <x:mergeCell ref="A1:R1"/>
    <x:mergeCell ref="A2:R2"/>
  </x:mergeCell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3" ySplit="4" topLeftCell="D5" activePane="bottomRight" state="frozen"/>
    </x:sheetView>
  </x:sheetViews>
  <x:sheetFormatPr defaultRowHeight="15"/>
  <x:cols>
    <x:col min="1" max="1" width="28" hidden="0" customWidth="1"/>
    <x:col min="2" max="2" width="23" hidden="0" customWidth="1"/>
    <x:col min="3" max="3" width="36" hidden="0" customWidth="1"/>
    <x:col min="4" max="4" width="3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28" hidden="0" customWidth="1"/>
    <x:col min="12" max="12" width="28" hidden="0" customWidth="1"/>
    <x:col min="13" max="13" width="28" hidden="0" customWidth="1"/>
    <x:col min="14" max="14" width="28" hidden="0" customWidth="1"/>
    <x:col min="15" max="15" width="2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s>
  <x:sheetData>
    <x:row r="1" ht="30" customHeight="1">
      <x:c r="A1" s="3" t="str">
        <x:v>Auto-classified provisional works</x:v>
      </x:c>
      <x:c r="B1" s="3"/>
      <x:c r="C1" s="3"/>
      <x:c r="D1" s="3"/>
      <x:c r="E1" s="3"/>
      <x:c r="F1" s="3"/>
      <x:c r="G1" s="3"/>
      <x:c r="H1" s="3"/>
      <x:c r="I1" s="3"/>
      <x:c r="J1" s="3"/>
      <x:c r="K1" s="3"/>
      <x:c r="L1" s="3"/>
      <x:c r="M1" s="3"/>
      <x:c r="N1" s="3"/>
      <x:c r="O1" s="3"/>
      <x:c r="P1" s="3"/>
      <x:c r="Q1" s="3"/>
      <x:c r="R1" s="3"/>
      <x:c r="S1" s="3"/>
      <x:c r="T1" s="3"/>
      <x:c r="U1" s="3"/>
      <x:c r="V1" s="3"/>
    </x:row>
    <x:row r="2" ht="44" customHeight="1">
      <x:c r="A2" s="7" t="str">
        <x:v>One row is one German literary work cluster after editions and formats are grouped. Translation statements inside DNB titles and cross-edition evidence are now included. Zamāna-i masmūm remains visible as a manual source-based exclusion.</x:v>
      </x:c>
      <x:c r="B2" s="7"/>
      <x:c r="C2" s="7"/>
      <x:c r="D2" s="7"/>
      <x:c r="E2" s="7"/>
      <x:c r="F2" s="7"/>
      <x:c r="G2" s="7"/>
      <x:c r="H2" s="7"/>
      <x:c r="I2" s="7"/>
      <x:c r="J2" s="7"/>
      <x:c r="K2" s="7"/>
      <x:c r="L2" s="7"/>
      <x:c r="M2" s="7"/>
      <x:c r="N2" s="7"/>
      <x:c r="O2" s="7"/>
      <x:c r="P2" s="7"/>
      <x:c r="Q2" s="7"/>
      <x:c r="R2" s="7"/>
      <x:c r="S2" s="7"/>
      <x:c r="T2" s="7"/>
      <x:c r="U2" s="7"/>
      <x:c r="V2" s="7"/>
    </x:row>
    <x:row r="4" ht="42" customHeight="1">
      <x:c r="A4" s="17" t="str">
        <x:v>Work ID</x:v>
      </x:c>
      <x:c r="B4" s="17" t="str">
        <x:v>Author</x:v>
      </x:c>
      <x:c r="C4" s="17" t="str">
        <x:v>Provisional title</x:v>
      </x:c>
      <x:c r="D4" s="17" t="str">
        <x:v>Title variants</x:v>
      </x:c>
      <x:c r="E4" s="17" t="str">
        <x:v>Earliest verified German year</x:v>
      </x:c>
      <x:c r="F4" s="17" t="str">
        <x:v>Latest catalogued year</x:v>
      </x:c>
      <x:c r="G4" s="17" t="str">
        <x:v>Eligible DNB records</x:v>
      </x:c>
      <x:c r="H4" s="17" t="str">
        <x:v>Print records</x:v>
      </x:c>
      <x:c r="I4" s="17" t="str">
        <x:v>E-book records</x:v>
      </x:c>
      <x:c r="J4" s="17" t="str">
        <x:v>Audiobook records</x:v>
      </x:c>
      <x:c r="K4" s="17" t="str">
        <x:v>Provisional unit type</x:v>
      </x:c>
      <x:c r="L4" s="17" t="str">
        <x:v>Original-language certainty</x:v>
      </x:c>
      <x:c r="M4" s="17" t="str">
        <x:v>Title-level supporting source</x:v>
      </x:c>
      <x:c r="N4" s="17" t="str">
        <x:v>Automated status</x:v>
      </x:c>
      <x:c r="O4" s="17" t="str">
        <x:v>Review / spot-check reason</x:v>
      </x:c>
      <x:c r="P4" s="17" t="str">
        <x:v>Source candidate IDs</x:v>
      </x:c>
      <x:c r="Q4" s="17" t="str">
        <x:v>DNB IDNs</x:v>
      </x:c>
      <x:c r="R4" s="17" t="str">
        <x:v>DNB subjects</x:v>
      </x:c>
      <x:c r="S4" s="17" t="str">
        <x:v>Edition statements</x:v>
      </x:c>
      <x:c r="T4" s="17" t="str">
        <x:v>MARC variant titles</x:v>
      </x:c>
      <x:c r="U4" s="17" t="str">
        <x:v>Host-item titles</x:v>
      </x:c>
      <x:c r="V4" s="17" t="str">
        <x:v>DNB retrieval UTC</x:v>
      </x:c>
    </x:row>
    <x:row r="5" ht="52" customHeight="1">
      <x:c r="A5" s="20" t="str">
        <x:v>work-390f6d2a53a8</x:v>
      </x:c>
      <x:c r="B5" s="20" t="str">
        <x:v>Amir Gudarzi</x:v>
      </x:c>
      <x:c r="C5" s="20" t="str">
        <x:v>Das Ende ist nah</x:v>
      </x:c>
      <x:c r="D5" s="20" t="str">
        <x:v>Das Ende ist nah : Roman | Das Ende ist nah : Roman | »Seine Haut kann er nicht retten, aber eine Hoffnung und seine Geschichte.« Julia Franck</x:v>
      </x:c>
      <x:c r="E5" s="20" t="n">
        <x:v>2023</x:v>
      </x:c>
      <x:c r="F5" s="20" t="n">
        <x:v>2023</x:v>
      </x:c>
      <x:c r="G5" s="20" t="n">
        <x:v>2</x:v>
      </x:c>
      <x:c r="H5" s="20" t="n">
        <x:v>1</x:v>
      </x:c>
      <x:c r="I5" s="20" t="n">
        <x:v>1</x:v>
      </x:c>
      <x:c r="J5" s="20" t="n">
        <x:v>0</x:v>
      </x:c>
      <x:c r="K5" s="20" t="str">
        <x:v>standalone work</x:v>
      </x:c>
      <x:c r="L5" s="20" t="str">
        <x:v>verified German-original</x:v>
      </x:c>
      <x:c r="M5" s="20" t="str">
        <x:v>publisher biography</x:v>
      </x:c>
      <x:c r="N5" s="32" t="str">
        <x:v>REVIEW_REQUIRED</x:v>
      </x:c>
      <x:c r="O5" s="20" t="str">
        <x:v>multiple original title groups merged</x:v>
      </x:c>
      <x:c r="P5" s="20" t="str">
        <x:v>amir-gudarzi-29a8792233 | amir-gudarzi-b1637201a9</x:v>
      </x:c>
      <x:c r="Q5" s="20" t="str">
        <x:v>1255396741 | 1299652808</x:v>
      </x:c>
      <x:c r="R5" s="20" t="str">
        <x:v>830 Deutsche Literatur | B Belletristik</x:v>
      </x:c>
      <x:c r="S5" s="20" t="str">
        <x:v>1. Auflage</x:v>
      </x:c>
      <x:c r="T5" s="20" t="str"/>
      <x:c r="U5" s="20" t="str"/>
      <x:c r="V5" s="25" t="n">
        <x:v>46287.72917824074</x:v>
      </x:c>
    </x:row>
    <x:row r="6" ht="52" customHeight="1">
      <x:c r="A6" s="20" t="str">
        <x:v>work-c28573ba7b67</x:v>
      </x:c>
      <x:c r="B6" s="20" t="str">
        <x:v>Asal Dardan</x:v>
      </x:c>
      <x:c r="C6" s="20" t="str">
        <x:v>Global &amp; beta</x:v>
      </x:c>
      <x:c r="D6" s="20" t="str">
        <x:v>Global &amp; beta : E-Book Code Berlin. Anthologie</x:v>
      </x:c>
      <x:c r="E6" s="20" t="n">
        <x:v>2016</x:v>
      </x:c>
      <x:c r="F6" s="20" t="n">
        <x:v>2016</x:v>
      </x:c>
      <x:c r="G6" s="20" t="n">
        <x:v>1</x:v>
      </x:c>
      <x:c r="H6" s="20" t="n">
        <x:v>0</x:v>
      </x:c>
      <x:c r="I6" s="20" t="n">
        <x:v>1</x:v>
      </x:c>
      <x:c r="J6" s="20" t="n">
        <x:v>0</x:v>
      </x:c>
      <x:c r="K6" s="20" t="str">
        <x:v>anthology contribution</x:v>
      </x:c>
      <x:c r="L6" s="20" t="str">
        <x:v>provisional German-original: DNB metadata</x:v>
      </x:c>
      <x:c r="M6" s="20" t="str"/>
      <x:c r="N6" s="32" t="str">
        <x:v>REVIEW_REQUIRED</x:v>
      </x:c>
      <x:c r="O6" s="20" t="str">
        <x:v>possible anthology | multiple authors with Verfasser role</x:v>
      </x:c>
      <x:c r="P6" s="20" t="str">
        <x:v>asal-dardan-e89d86099b</x:v>
      </x:c>
      <x:c r="Q6" s="20" t="str">
        <x:v>1129227847</x:v>
      </x:c>
      <x:c r="R6" s="20" t="str">
        <x:v>830 Deutsche Literatur | B Belletristik</x:v>
      </x:c>
      <x:c r="S6" s="20" t="str">
        <x:v>1. Auflage</x:v>
      </x:c>
      <x:c r="T6" s="20" t="str"/>
      <x:c r="U6" s="20" t="str"/>
      <x:c r="V6" s="25" t="n">
        <x:v>46287.72917824074</x:v>
      </x:c>
    </x:row>
    <x:row r="7" ht="52" customHeight="1">
      <x:c r="A7" s="20" t="str">
        <x:v>work-006e63c34567</x:v>
      </x:c>
      <x:c r="B7" s="20" t="str">
        <x:v>Behzad Karim Khani</x:v>
      </x:c>
      <x:c r="C7" s="20" t="str">
        <x:v>Als wir Schwäne waren</x:v>
      </x:c>
      <x:c r="D7" s="20" t="str">
        <x:v>Als wir Schwäne waren : Roman | [Karim Khani] ; Als wir Schwäne waren : Roman</x:v>
      </x:c>
      <x:c r="E7" s="20" t="n">
        <x:v>2024</x:v>
      </x:c>
      <x:c r="F7" s="20" t="n">
        <x:v>2026</x:v>
      </x:c>
      <x:c r="G7" s="20" t="n">
        <x:v>3</x:v>
      </x:c>
      <x:c r="H7" s="20" t="n">
        <x:v>2</x:v>
      </x:c>
      <x:c r="I7" s="20" t="n">
        <x:v>1</x:v>
      </x:c>
      <x:c r="J7" s="20" t="n">
        <x:v>0</x:v>
      </x:c>
      <x:c r="K7" s="20" t="str">
        <x:v>standalone work</x:v>
      </x:c>
      <x:c r="L7" s="20" t="str">
        <x:v>provisional German-original: DNB metadata</x:v>
      </x:c>
      <x:c r="M7" s="20" t="str"/>
      <x:c r="N7" s="32" t="str">
        <x:v>REVIEW_REQUIRED</x:v>
      </x:c>
      <x:c r="O7" s="20" t="str">
        <x:v>multiple original title groups merged</x:v>
      </x:c>
      <x:c r="P7" s="20" t="str">
        <x:v>behzad-karim-khani-303872bd50 | behzad-karim-khani-8e76d35d4a</x:v>
      </x:c>
      <x:c r="Q7" s="20" t="str">
        <x:v>1323574328 | 1337076155 | 1378668693</x:v>
      </x:c>
      <x:c r="R7" s="20" t="str">
        <x:v>830 Deutsche Literatur | B Belletristik</x:v>
      </x:c>
      <x:c r="S7" s="20" t="str">
        <x:v>1. Auflage | Ungekürzte Taschenbuchausgabe, 1. Auflage</x:v>
      </x:c>
      <x:c r="T7" s="20" t="str"/>
      <x:c r="U7" s="20" t="str"/>
      <x:c r="V7" s="25" t="n">
        <x:v>46287.72917824074</x:v>
      </x:c>
    </x:row>
    <x:row r="8" ht="52" customHeight="1">
      <x:c r="A8" s="20" t="str">
        <x:v>work-94d0dd2933e5</x:v>
      </x:c>
      <x:c r="B8" s="20" t="str">
        <x:v>Behzad Karim Khani</x:v>
      </x:c>
      <x:c r="C8" s="20" t="str">
        <x:v>Hund, Wolf, Schakal</x:v>
      </x:c>
      <x:c r="D8" s="20" t="str">
        <x:v>Hund, Wolf, Schakal : Roman</x:v>
      </x:c>
      <x:c r="E8" s="20" t="n">
        <x:v>2022</x:v>
      </x:c>
      <x:c r="F8" s="20" t="n">
        <x:v>2024</x:v>
      </x:c>
      <x:c r="G8" s="20" t="n">
        <x:v>3</x:v>
      </x:c>
      <x:c r="H8" s="20" t="n">
        <x:v>2</x:v>
      </x:c>
      <x:c r="I8" s="20" t="n">
        <x:v>1</x:v>
      </x:c>
      <x:c r="J8" s="20" t="n">
        <x:v>0</x:v>
      </x:c>
      <x:c r="K8" s="20" t="str">
        <x:v>standalone work</x:v>
      </x:c>
      <x:c r="L8" s="20" t="str">
        <x:v>verified German-original</x:v>
      </x:c>
      <x:c r="M8" s="20" t="str">
        <x:v>publisher biography</x:v>
      </x:c>
      <x:c r="N8" s="33" t="str">
        <x:v>AUTO_KEEP_PROVISIONAL</x:v>
      </x:c>
      <x:c r="O8" s="20" t="str"/>
      <x:c r="P8" s="20" t="str">
        <x:v>behzad-karim-khani-b0976966e6</x:v>
      </x:c>
      <x:c r="Q8" s="20" t="str">
        <x:v>1254070710 | 1263983855 | 1285998227</x:v>
      </x:c>
      <x:c r="R8" s="20" t="str">
        <x:v>830 Deutsche Literatur | B Belletristik</x:v>
      </x:c>
      <x:c r="S8" s="20" t="str">
        <x:v>1. Auflage | Lizenzausgabe</x:v>
      </x:c>
      <x:c r="T8" s="20" t="str"/>
      <x:c r="U8" s="20" t="str"/>
      <x:c r="V8" s="25" t="n">
        <x:v>46287.72917824074</x:v>
      </x:c>
    </x:row>
    <x:row r="9" ht="52" customHeight="1">
      <x:c r="A9" s="20" t="str">
        <x:v>work-26c973fc49fe</x:v>
      </x:c>
      <x:c r="B9" s="20" t="str">
        <x:v>Cyrus Atabay</x:v>
      </x:c>
      <x:c r="C9" s="20" t="str">
        <x:v>An diesem Tage lasen wir keine Zeile mehr</x:v>
      </x:c>
      <x:c r="D9" s="20" t="str">
        <x:v>An diesem Tage lasen wir keine Zeile mehr : Gedichte</x:v>
      </x:c>
      <x:c r="E9" s="20" t="n">
        <x:v>1974</x:v>
      </x:c>
      <x:c r="F9" s="20" t="n">
        <x:v>1974</x:v>
      </x:c>
      <x:c r="G9" s="20" t="n">
        <x:v>1</x:v>
      </x:c>
      <x:c r="H9" s="20" t="n">
        <x:v>1</x:v>
      </x:c>
      <x:c r="I9" s="20" t="n">
        <x:v>0</x:v>
      </x:c>
      <x:c r="J9" s="20" t="n">
        <x:v>0</x:v>
      </x:c>
      <x:c r="K9" s="20" t="str">
        <x:v>standalone work</x:v>
      </x:c>
      <x:c r="L9" s="20" t="str">
        <x:v>provisional German-original: DNB metadata</x:v>
      </x:c>
      <x:c r="M9" s="20" t="str"/>
      <x:c r="N9" s="33" t="str">
        <x:v>AUTO_KEEP_PROVISIONAL</x:v>
      </x:c>
      <x:c r="O9" s="20" t="str"/>
      <x:c r="P9" s="20" t="str">
        <x:v>cyrus-atabay-8d38774201</x:v>
      </x:c>
      <x:c r="Q9" s="20" t="str">
        <x:v>740293087</x:v>
      </x:c>
      <x:c r="R9" s="20" t="str">
        <x:v>08a Schöne Literatur</x:v>
      </x:c>
      <x:c r="S9" s="20" t="str">
        <x:v>1. Aufl</x:v>
      </x:c>
      <x:c r="T9" s="20" t="str"/>
      <x:c r="U9" s="20" t="str"/>
      <x:c r="V9" s="25" t="n">
        <x:v>46287.72917824074</x:v>
      </x:c>
    </x:row>
    <x:row r="10" ht="52" customHeight="1">
      <x:c r="A10" s="20" t="str">
        <x:v>work-0eae763fa03a</x:v>
      </x:c>
      <x:c r="B10" s="20" t="str">
        <x:v>Cyrus Atabay</x:v>
      </x:c>
      <x:c r="C10" s="20" t="str">
        <x:v>An - und Abflüge</x:v>
      </x:c>
      <x:c r="D10" s="20" t="str">
        <x:v>An - und Abflüge : Gedichte</x:v>
      </x:c>
      <x:c r="E10" s="20" t="n">
        <x:v>1958</x:v>
      </x:c>
      <x:c r="F10" s="20" t="n">
        <x:v>1958</x:v>
      </x:c>
      <x:c r="G10" s="20" t="n">
        <x:v>1</x:v>
      </x:c>
      <x:c r="H10" s="20" t="n">
        <x:v>1</x:v>
      </x:c>
      <x:c r="I10" s="20" t="n">
        <x:v>0</x:v>
      </x:c>
      <x:c r="J10" s="20" t="n">
        <x:v>0</x:v>
      </x:c>
      <x:c r="K10" s="20" t="str">
        <x:v>standalone work</x:v>
      </x:c>
      <x:c r="L10" s="20" t="str">
        <x:v>provisional German-original: DNB metadata</x:v>
      </x:c>
      <x:c r="M10" s="20" t="str"/>
      <x:c r="N10" s="33" t="str">
        <x:v>AUTO_KEEP_PROVISIONAL</x:v>
      </x:c>
      <x:c r="O10" s="20" t="str"/>
      <x:c r="P10" s="20" t="str">
        <x:v>cyrus-atabay-b37880698c</x:v>
      </x:c>
      <x:c r="Q10" s="20" t="str">
        <x:v>450155226</x:v>
      </x:c>
      <x:c r="R10" s="20" t="str">
        <x:v>08a Schöne Literatur</x:v>
      </x:c>
      <x:c r="S10" s="20" t="str"/>
      <x:c r="T10" s="20" t="str"/>
      <x:c r="U10" s="20" t="str"/>
      <x:c r="V10" s="25" t="n">
        <x:v>46287.72917824074</x:v>
      </x:c>
    </x:row>
    <x:row r="11" ht="52" customHeight="1">
      <x:c r="A11" s="20" t="str">
        <x:v>work-12b83db98099</x:v>
      </x:c>
      <x:c r="B11" s="20" t="str">
        <x:v>Cyrus Atabay</x:v>
      </x:c>
      <x:c r="C11" s="20" t="str">
        <x:v>Das Auftauchen an einem anderen Ort</x:v>
      </x:c>
      <x:c r="D11" s="20" t="str">
        <x:v>Das Auftauchen an einem anderen Ort : Gedichte</x:v>
      </x:c>
      <x:c r="E11" s="20" t="n">
        <x:v>1977</x:v>
      </x:c>
      <x:c r="F11" s="20" t="n">
        <x:v>1977</x:v>
      </x:c>
      <x:c r="G11" s="20" t="n">
        <x:v>1</x:v>
      </x:c>
      <x:c r="H11" s="20" t="n">
        <x:v>1</x:v>
      </x:c>
      <x:c r="I11" s="20" t="n">
        <x:v>0</x:v>
      </x:c>
      <x:c r="J11" s="20" t="n">
        <x:v>0</x:v>
      </x:c>
      <x:c r="K11" s="20" t="str">
        <x:v>standalone work</x:v>
      </x:c>
      <x:c r="L11" s="20" t="str">
        <x:v>provisional German-original: DNB metadata</x:v>
      </x:c>
      <x:c r="M11" s="20" t="str"/>
      <x:c r="N11" s="33" t="str">
        <x:v>AUTO_KEEP_PROVISIONAL</x:v>
      </x:c>
      <x:c r="O11" s="20" t="str"/>
      <x:c r="P11" s="20" t="str">
        <x:v>cyrus-atabay-71923e6d37</x:v>
      </x:c>
      <x:c r="Q11" s="20" t="str">
        <x:v>770243363</x:v>
      </x:c>
      <x:c r="R11" s="20" t="str">
        <x:v>08a Schöne Literatur</x:v>
      </x:c>
      <x:c r="S11" s="20" t="str"/>
      <x:c r="T11" s="20" t="str"/>
      <x:c r="U11" s="20" t="str"/>
      <x:c r="V11" s="25" t="n">
        <x:v>46287.72917824074</x:v>
      </x:c>
    </x:row>
    <x:row r="12" ht="52" customHeight="1">
      <x:c r="A12" s="20" t="str">
        <x:v>work-ef1eb4ccdcb3</x:v>
      </x:c>
      <x:c r="B12" s="20" t="str">
        <x:v>Cyrus Atabay</x:v>
      </x:c>
      <x:c r="C12" s="20" t="str">
        <x:v>Die Leidenschaft der Neugierde</x:v>
      </x:c>
      <x:c r="D12" s="20" t="str">
        <x:v>Die Leidenschaft der Neugierde : neue Gedichte</x:v>
      </x:c>
      <x:c r="E12" s="20" t="n">
        <x:v>1981</x:v>
      </x:c>
      <x:c r="F12" s="20" t="n">
        <x:v>1981</x:v>
      </x:c>
      <x:c r="G12" s="20" t="n">
        <x:v>1</x:v>
      </x:c>
      <x:c r="H12" s="20" t="n">
        <x:v>1</x:v>
      </x:c>
      <x:c r="I12" s="20" t="n">
        <x:v>0</x:v>
      </x:c>
      <x:c r="J12" s="20" t="n">
        <x:v>0</x:v>
      </x:c>
      <x:c r="K12" s="20" t="str">
        <x:v>standalone work</x:v>
      </x:c>
      <x:c r="L12" s="20" t="str">
        <x:v>provisional German-original: DNB metadata</x:v>
      </x:c>
      <x:c r="M12" s="20" t="str"/>
      <x:c r="N12" s="33" t="str">
        <x:v>AUTO_KEEP_PROVISIONAL</x:v>
      </x:c>
      <x:c r="O12" s="20" t="str"/>
      <x:c r="P12" s="20" t="str">
        <x:v>cyrus-atabay-8c8e6161a3</x:v>
      </x:c>
      <x:c r="Q12" s="20" t="str">
        <x:v>810531518</x:v>
      </x:c>
      <x:c r="R12" s="20" t="str">
        <x:v>08a Schöne Literatur</x:v>
      </x:c>
      <x:c r="S12" s="20" t="str"/>
      <x:c r="T12" s="20" t="str"/>
      <x:c r="U12" s="20" t="str"/>
      <x:c r="V12" s="25" t="n">
        <x:v>46287.72917824074</x:v>
      </x:c>
    </x:row>
    <x:row r="13" ht="52" customHeight="1">
      <x:c r="A13" s="20" t="str">
        <x:v>work-b4bde2b9320b</x:v>
      </x:c>
      <x:c r="B13" s="20" t="str">
        <x:v>Cyrus Atabay</x:v>
      </x:c>
      <x:c r="C13" s="20" t="str">
        <x:v>Die Linien des Lebens</x:v>
      </x:c>
      <x:c r="D13" s="20" t="str">
        <x:v>Die Linien des Lebens : 61 Gedichte in 5 H</x:v>
      </x:c>
      <x:c r="E13" s="20" t="n">
        <x:v>1986</x:v>
      </x:c>
      <x:c r="F13" s="20" t="n">
        <x:v>1986</x:v>
      </x:c>
      <x:c r="G13" s="20" t="n">
        <x:v>1</x:v>
      </x:c>
      <x:c r="H13" s="20" t="n">
        <x:v>1</x:v>
      </x:c>
      <x:c r="I13" s="20" t="n">
        <x:v>0</x:v>
      </x:c>
      <x:c r="J13" s="20" t="n">
        <x:v>0</x:v>
      </x:c>
      <x:c r="K13" s="20" t="str">
        <x:v>standalone work</x:v>
      </x:c>
      <x:c r="L13" s="20" t="str">
        <x:v>provisional German-original: DNB metadata</x:v>
      </x:c>
      <x:c r="M13" s="20" t="str"/>
      <x:c r="N13" s="33" t="str">
        <x:v>AUTO_KEEP_PROVISIONAL</x:v>
      </x:c>
      <x:c r="O13" s="20" t="str"/>
      <x:c r="P13" s="20" t="str">
        <x:v>cyrus-atabay-f2a17014d6</x:v>
      </x:c>
      <x:c r="Q13" s="20" t="str">
        <x:v>870057421</x:v>
      </x:c>
      <x:c r="R13" s="20" t="str">
        <x:v>59 Belletristik | 46 Bildende Kunst | 09 Grenzgebiete der Wissenschaft und Esoterik</x:v>
      </x:c>
      <x:c r="S13" s="20" t="str">
        <x:v>Erstausg</x:v>
      </x:c>
      <x:c r="T13" s="20" t="str"/>
      <x:c r="U13" s="20" t="str"/>
      <x:c r="V13" s="25" t="n">
        <x:v>46287.72917824074</x:v>
      </x:c>
    </x:row>
    <x:row r="14" ht="52" customHeight="1">
      <x:c r="A14" s="20" t="str">
        <x:v>work-2a065fde2f3e</x:v>
      </x:c>
      <x:c r="B14" s="20" t="str">
        <x:v>Cyrus Atabay</x:v>
      </x:c>
      <x:c r="C14" s="20" t="str">
        <x:v>Die Wege des Leichtsinns</x:v>
      </x:c>
      <x:c r="D14" s="20" t="str">
        <x:v>Die Wege des Leichtsinns : zerstreutes äolisches Material ; Gedichte</x:v>
      </x:c>
      <x:c r="E14" s="20" t="n">
        <x:v>1994</x:v>
      </x:c>
      <x:c r="F14" s="20" t="n">
        <x:v>1994</x:v>
      </x:c>
      <x:c r="G14" s="20" t="n">
        <x:v>1</x:v>
      </x:c>
      <x:c r="H14" s="20" t="n">
        <x:v>1</x:v>
      </x:c>
      <x:c r="I14" s="20" t="n">
        <x:v>0</x:v>
      </x:c>
      <x:c r="J14" s="20" t="n">
        <x:v>0</x:v>
      </x:c>
      <x:c r="K14" s="20" t="str">
        <x:v>standalone work</x:v>
      </x:c>
      <x:c r="L14" s="20" t="str">
        <x:v>provisional German-original: DNB metadata</x:v>
      </x:c>
      <x:c r="M14" s="20" t="str"/>
      <x:c r="N14" s="33" t="str">
        <x:v>AUTO_KEEP_PROVISIONAL</x:v>
      </x:c>
      <x:c r="O14" s="20" t="str"/>
      <x:c r="P14" s="20" t="str">
        <x:v>cyrus-atabay-dd7778f9b0</x:v>
      </x:c>
      <x:c r="Q14" s="20" t="str">
        <x:v>94266566X</x:v>
      </x:c>
      <x:c r="R14" s="20" t="str">
        <x:v>59 Belletristik</x:v>
      </x:c>
      <x:c r="S14" s="20" t="str">
        <x:v>Erstausg</x:v>
      </x:c>
      <x:c r="T14" s="20" t="str"/>
      <x:c r="U14" s="20" t="str"/>
      <x:c r="V14" s="25" t="n">
        <x:v>46287.72917824074</x:v>
      </x:c>
    </x:row>
    <x:row r="15" ht="52" customHeight="1">
      <x:c r="A15" s="20" t="str">
        <x:v>work-e5062e732b34</x:v>
      </x:c>
      <x:c r="B15" s="20" t="str">
        <x:v>Cyrus Atabay</x:v>
      </x:c>
      <x:c r="C15" s="20" t="str">
        <x:v>Doppelte Wahrheit</x:v>
      </x:c>
      <x:c r="D15" s="20" t="str">
        <x:v>Doppelte Wahrheit : Gedichte u. Prosa</x:v>
      </x:c>
      <x:c r="E15" s="20" t="n">
        <x:v>1969</x:v>
      </x:c>
      <x:c r="F15" s="20" t="n">
        <x:v>1969</x:v>
      </x:c>
      <x:c r="G15" s="20" t="n">
        <x:v>1</x:v>
      </x:c>
      <x:c r="H15" s="20" t="n">
        <x:v>1</x:v>
      </x:c>
      <x:c r="I15" s="20" t="n">
        <x:v>0</x:v>
      </x:c>
      <x:c r="J15" s="20" t="n">
        <x:v>0</x:v>
      </x:c>
      <x:c r="K15" s="20" t="str">
        <x:v>standalone work</x:v>
      </x:c>
      <x:c r="L15" s="20" t="str">
        <x:v>provisional German-original: DNB metadata</x:v>
      </x:c>
      <x:c r="M15" s="20" t="str"/>
      <x:c r="N15" s="33" t="str">
        <x:v>AUTO_KEEP_PROVISIONAL</x:v>
      </x:c>
      <x:c r="O15" s="20" t="str"/>
      <x:c r="P15" s="20" t="str">
        <x:v>cyrus-atabay-d167d31154</x:v>
      </x:c>
      <x:c r="Q15" s="20" t="str">
        <x:v>455567301</x:v>
      </x:c>
      <x:c r="R15" s="20" t="str">
        <x:v>08a Schöne Literatur</x:v>
      </x:c>
      <x:c r="S15" s="20" t="str"/>
      <x:c r="T15" s="20" t="str"/>
      <x:c r="U15" s="20" t="str"/>
      <x:c r="V15" s="25" t="n">
        <x:v>46287.72917824074</x:v>
      </x:c>
    </x:row>
    <x:row r="16" ht="52" customHeight="1">
      <x:c r="A16" s="20" t="str">
        <x:v>work-2afd2f99e401</x:v>
      </x:c>
      <x:c r="B16" s="20" t="str">
        <x:v>Cyrus Atabay</x:v>
      </x:c>
      <x:c r="C16" s="20" t="str">
        <x:v>Einige Schatten</x:v>
      </x:c>
      <x:c r="D16" s="20" t="str">
        <x:v>Einige Schatten</x:v>
      </x:c>
      <x:c r="E16" s="20" t="n">
        <x:v>1956</x:v>
      </x:c>
      <x:c r="F16" s="20" t="n">
        <x:v>1956</x:v>
      </x:c>
      <x:c r="G16" s="20" t="n">
        <x:v>1</x:v>
      </x:c>
      <x:c r="H16" s="20" t="n">
        <x:v>1</x:v>
      </x:c>
      <x:c r="I16" s="20" t="n">
        <x:v>0</x:v>
      </x:c>
      <x:c r="J16" s="20" t="n">
        <x:v>0</x:v>
      </x:c>
      <x:c r="K16" s="20" t="str">
        <x:v>standalone work</x:v>
      </x:c>
      <x:c r="L16" s="20" t="str">
        <x:v>provisional German-original: DNB metadata</x:v>
      </x:c>
      <x:c r="M16" s="20" t="str"/>
      <x:c r="N16" s="33" t="str">
        <x:v>AUTO_KEEP_PROVISIONAL</x:v>
      </x:c>
      <x:c r="O16" s="20" t="str"/>
      <x:c r="P16" s="20" t="str">
        <x:v>cyrus-atabay-2afd2f99e4</x:v>
      </x:c>
      <x:c r="Q16" s="20" t="str">
        <x:v>450155242</x:v>
      </x:c>
      <x:c r="R16" s="20" t="str">
        <x:v>830 Deutsche Literatur | B Belletristik</x:v>
      </x:c>
      <x:c r="S16" s="20" t="str"/>
      <x:c r="T16" s="20" t="str"/>
      <x:c r="U16" s="20" t="str"/>
      <x:c r="V16" s="25" t="n">
        <x:v>46287.72917824074</x:v>
      </x:c>
    </x:row>
    <x:row r="17" ht="52" customHeight="1">
      <x:c r="A17" s="20" t="str">
        <x:v>work-01a9644a775b</x:v>
      </x:c>
      <x:c r="B17" s="20" t="str">
        <x:v>Cyrus Atabay</x:v>
      </x:c>
      <x:c r="C17" s="20" t="str">
        <x:v>Gedichte</x:v>
      </x:c>
      <x:c r="D17" s="20" t="str">
        <x:v>Gedichte</x:v>
      </x:c>
      <x:c r="E17" s="20" t="n">
        <x:v>1991</x:v>
      </x:c>
      <x:c r="F17" s="20" t="n">
        <x:v>1991</x:v>
      </x:c>
      <x:c r="G17" s="20" t="n">
        <x:v>1</x:v>
      </x:c>
      <x:c r="H17" s="20" t="n">
        <x:v>1</x:v>
      </x:c>
      <x:c r="I17" s="20" t="n">
        <x:v>0</x:v>
      </x:c>
      <x:c r="J17" s="20" t="n">
        <x:v>0</x:v>
      </x:c>
      <x:c r="K17" s="20" t="str">
        <x:v>standalone work</x:v>
      </x:c>
      <x:c r="L17" s="20" t="str">
        <x:v>provisional German-original: DNB metadata</x:v>
      </x:c>
      <x:c r="M17" s="20" t="str"/>
      <x:c r="N17" s="33" t="str">
        <x:v>AUTO_KEEP_PROVISIONAL</x:v>
      </x:c>
      <x:c r="O17" s="20" t="str"/>
      <x:c r="P17" s="20" t="str">
        <x:v>cyrus-atabay-01a9644a77</x:v>
      </x:c>
      <x:c r="Q17" s="20" t="str">
        <x:v>911089543</x:v>
      </x:c>
      <x:c r="R17" s="20" t="str">
        <x:v>59 Belletristik</x:v>
      </x:c>
      <x:c r="S17" s="20" t="str">
        <x:v>1. Aufl</x:v>
      </x:c>
      <x:c r="T17" s="20" t="str"/>
      <x:c r="U17" s="20" t="str"/>
      <x:c r="V17" s="25" t="n">
        <x:v>46287.72917824074</x:v>
      </x:c>
    </x:row>
    <x:row r="18" ht="52" customHeight="1">
      <x:c r="A18" s="20" t="str">
        <x:v>work-7c0fb8567ea8</x:v>
      </x:c>
      <x:c r="B18" s="20" t="str">
        <x:v>Cyrus Atabay</x:v>
      </x:c>
      <x:c r="C18" s="20" t="str">
        <x:v>Gegenüber der Sonne</x:v>
      </x:c>
      <x:c r="D18" s="20" t="str">
        <x:v>Gegenüber der Sonne : Gedichte u. kleine Prosa</x:v>
      </x:c>
      <x:c r="E18" s="20" t="n">
        <x:v>1964</x:v>
      </x:c>
      <x:c r="F18" s="20" t="n">
        <x:v>1964</x:v>
      </x:c>
      <x:c r="G18" s="20" t="n">
        <x:v>1</x:v>
      </x:c>
      <x:c r="H18" s="20" t="n">
        <x:v>1</x:v>
      </x:c>
      <x:c r="I18" s="20" t="n">
        <x:v>0</x:v>
      </x:c>
      <x:c r="J18" s="20" t="n">
        <x:v>0</x:v>
      </x:c>
      <x:c r="K18" s="20" t="str">
        <x:v>standalone work</x:v>
      </x:c>
      <x:c r="L18" s="20" t="str">
        <x:v>provisional German-original: DNB metadata</x:v>
      </x:c>
      <x:c r="M18" s="20" t="str"/>
      <x:c r="N18" s="33" t="str">
        <x:v>AUTO_KEEP_PROVISIONAL</x:v>
      </x:c>
      <x:c r="O18" s="20" t="str"/>
      <x:c r="P18" s="20" t="str">
        <x:v>cyrus-atabay-5687f66248</x:v>
      </x:c>
      <x:c r="Q18" s="20" t="str">
        <x:v>450155250</x:v>
      </x:c>
      <x:c r="R18" s="20" t="str">
        <x:v>08a Schöne Literatur</x:v>
      </x:c>
      <x:c r="S18" s="20" t="str"/>
      <x:c r="T18" s="20" t="str"/>
      <x:c r="U18" s="20" t="str"/>
      <x:c r="V18" s="25" t="n">
        <x:v>46287.72917824074</x:v>
      </x:c>
    </x:row>
    <x:row r="19" ht="52" customHeight="1">
      <x:c r="A19" s="20" t="str">
        <x:v>work-e36f7e974be9</x:v>
      </x:c>
      <x:c r="B19" s="20" t="str">
        <x:v>Cyrus Atabay</x:v>
      </x:c>
      <x:c r="C19" s="20" t="str">
        <x:v>Leise Revolten</x:v>
      </x:c>
      <x:c r="D19" s="20" t="str">
        <x:v>Leise Revolten : kleine Prosa aus drei Jahrzehnten</x:v>
      </x:c>
      <x:c r="E19" s="20" t="n">
        <x:v>1992</x:v>
      </x:c>
      <x:c r="F19" s="20" t="n">
        <x:v>1992</x:v>
      </x:c>
      <x:c r="G19" s="20" t="n">
        <x:v>1</x:v>
      </x:c>
      <x:c r="H19" s="20" t="n">
        <x:v>1</x:v>
      </x:c>
      <x:c r="I19" s="20" t="n">
        <x:v>0</x:v>
      </x:c>
      <x:c r="J19" s="20" t="n">
        <x:v>0</x:v>
      </x:c>
      <x:c r="K19" s="20" t="str">
        <x:v>standalone work</x:v>
      </x:c>
      <x:c r="L19" s="20" t="str">
        <x:v>provisional German-original: DNB metadata</x:v>
      </x:c>
      <x:c r="M19" s="20" t="str"/>
      <x:c r="N19" s="33" t="str">
        <x:v>AUTO_KEEP_PROVISIONAL</x:v>
      </x:c>
      <x:c r="O19" s="20" t="str"/>
      <x:c r="P19" s="20" t="str">
        <x:v>cyrus-atabay-bcb5db44a4</x:v>
      </x:c>
      <x:c r="Q19" s="20" t="str">
        <x:v>930241622</x:v>
      </x:c>
      <x:c r="R19" s="20" t="str">
        <x:v>59 Belletristik | 46 Bildende Kunst</x:v>
      </x:c>
      <x:c r="S19" s="20" t="str"/>
      <x:c r="T19" s="20" t="str"/>
      <x:c r="U19" s="20" t="str"/>
      <x:c r="V19" s="25" t="n">
        <x:v>46287.72917824074</x:v>
      </x:c>
    </x:row>
    <x:row r="20" ht="52" customHeight="1">
      <x:c r="A20" s="20" t="str">
        <x:v>work-8b5966723907</x:v>
      </x:c>
      <x:c r="B20" s="20" t="str">
        <x:v>Cyrus Atabay</x:v>
      </x:c>
      <x:c r="C20" s="20" t="str">
        <x:v>Meditation am Webstuhl</x:v>
      </x:c>
      <x:c r="D20" s="20" t="str">
        <x:v>Meditation am Webstuhl : Neue Gedichte</x:v>
      </x:c>
      <x:c r="E20" s="20" t="n">
        <x:v>1960</x:v>
      </x:c>
      <x:c r="F20" s="20" t="n">
        <x:v>1960</x:v>
      </x:c>
      <x:c r="G20" s="20" t="n">
        <x:v>1</x:v>
      </x:c>
      <x:c r="H20" s="20" t="n">
        <x:v>1</x:v>
      </x:c>
      <x:c r="I20" s="20" t="n">
        <x:v>0</x:v>
      </x:c>
      <x:c r="J20" s="20" t="n">
        <x:v>0</x:v>
      </x:c>
      <x:c r="K20" s="20" t="str">
        <x:v>standalone work</x:v>
      </x:c>
      <x:c r="L20" s="20" t="str">
        <x:v>provisional German-original: DNB metadata</x:v>
      </x:c>
      <x:c r="M20" s="20" t="str"/>
      <x:c r="N20" s="33" t="str">
        <x:v>AUTO_KEEP_PROVISIONAL</x:v>
      </x:c>
      <x:c r="O20" s="20" t="str"/>
      <x:c r="P20" s="20" t="str">
        <x:v>cyrus-atabay-79d4f09bce</x:v>
      </x:c>
      <x:c r="Q20" s="20" t="str">
        <x:v>450155234</x:v>
      </x:c>
      <x:c r="R20" s="20" t="str">
        <x:v>08a Schöne Literatur</x:v>
      </x:c>
      <x:c r="S20" s="20" t="str"/>
      <x:c r="T20" s="20" t="str"/>
      <x:c r="U20" s="20" t="str"/>
      <x:c r="V20" s="25" t="n">
        <x:v>46287.72917824074</x:v>
      </x:c>
    </x:row>
    <x:row r="21" ht="52" customHeight="1">
      <x:c r="A21" s="20" t="str">
        <x:v>work-39d94cfc4338</x:v>
      </x:c>
      <x:c r="B21" s="20" t="str">
        <x:v>Cyrus Atabay</x:v>
      </x:c>
      <x:c r="C21" s="20" t="str">
        <x:v>Prosperos Tagebuch</x:v>
      </x:c>
      <x:c r="D21" s="20" t="str">
        <x:v>Prosperos Tagebuch : Gedichte</x:v>
      </x:c>
      <x:c r="E21" s="20" t="n">
        <x:v>1985</x:v>
      </x:c>
      <x:c r="F21" s="20" t="n">
        <x:v>2018</x:v>
      </x:c>
      <x:c r="G21" s="20" t="n">
        <x:v>2</x:v>
      </x:c>
      <x:c r="H21" s="20" t="n">
        <x:v>2</x:v>
      </x:c>
      <x:c r="I21" s="20" t="n">
        <x:v>0</x:v>
      </x:c>
      <x:c r="J21" s="20" t="n">
        <x:v>0</x:v>
      </x:c>
      <x:c r="K21" s="20" t="str">
        <x:v>standalone work</x:v>
      </x:c>
      <x:c r="L21" s="20" t="str">
        <x:v>provisional German-original: DNB metadata</x:v>
      </x:c>
      <x:c r="M21" s="20" t="str"/>
      <x:c r="N21" s="33" t="str">
        <x:v>AUTO_KEEP_PROVISIONAL</x:v>
      </x:c>
      <x:c r="O21" s="20" t="str"/>
      <x:c r="P21" s="20" t="str">
        <x:v>cyrus-atabay-02263a21d8</x:v>
      </x:c>
      <x:c r="Q21" s="20" t="str">
        <x:v>1148124985 | 850702585</x:v>
      </x:c>
      <x:c r="R21" s="20" t="str">
        <x:v>830 Deutsche Literatur | B Belletristik | 59 Belletristik | 46 Bildende Kunst</x:v>
      </x:c>
      <x:c r="S21" s="20" t="str">
        <x:v>Erstausg</x:v>
      </x:c>
      <x:c r="T21" s="20" t="str"/>
      <x:c r="U21" s="20" t="str"/>
      <x:c r="V21" s="25" t="n">
        <x:v>46287.72917824074</x:v>
      </x:c>
    </x:row>
    <x:row r="22" ht="52" customHeight="1">
      <x:c r="A22" s="20" t="str">
        <x:v>work-316fcb4ab372</x:v>
      </x:c>
      <x:c r="B22" s="20" t="str">
        <x:v>Cyrus Atabay</x:v>
      </x:c>
      <x:c r="C22" s="20" t="str">
        <x:v>Puschkiniana</x:v>
      </x:c>
      <x:c r="D22" s="20" t="str">
        <x:v>Puschkiniana : Gedichte</x:v>
      </x:c>
      <x:c r="E22" s="20" t="n">
        <x:v>1990</x:v>
      </x:c>
      <x:c r="F22" s="20" t="n">
        <x:v>1990</x:v>
      </x:c>
      <x:c r="G22" s="20" t="n">
        <x:v>1</x:v>
      </x:c>
      <x:c r="H22" s="20" t="n">
        <x:v>1</x:v>
      </x:c>
      <x:c r="I22" s="20" t="n">
        <x:v>0</x:v>
      </x:c>
      <x:c r="J22" s="20" t="n">
        <x:v>0</x:v>
      </x:c>
      <x:c r="K22" s="20" t="str">
        <x:v>standalone work</x:v>
      </x:c>
      <x:c r="L22" s="20" t="str">
        <x:v>provisional German-original: DNB metadata</x:v>
      </x:c>
      <x:c r="M22" s="20" t="str"/>
      <x:c r="N22" s="33" t="str">
        <x:v>AUTO_KEEP_PROVISIONAL</x:v>
      </x:c>
      <x:c r="O22" s="20" t="str"/>
      <x:c r="P22" s="20" t="str">
        <x:v>cyrus-atabay-8eef27a1c2</x:v>
      </x:c>
      <x:c r="Q22" s="20" t="str">
        <x:v>910024359</x:v>
      </x:c>
      <x:c r="R22" s="20" t="str">
        <x:v>59 Belletristik</x:v>
      </x:c>
      <x:c r="S22" s="20" t="str">
        <x:v>Erstausg</x:v>
      </x:c>
      <x:c r="T22" s="20" t="str"/>
      <x:c r="U22" s="20" t="str"/>
      <x:c r="V22" s="25" t="n">
        <x:v>46287.72917824074</x:v>
      </x:c>
    </x:row>
    <x:row r="23" ht="52" customHeight="1">
      <x:c r="A23" s="20" t="str">
        <x:v>work-e4c2990f229c</x:v>
      </x:c>
      <x:c r="B23" s="20" t="str">
        <x:v>Cyrus Atabay</x:v>
      </x:c>
      <x:c r="C23" s="20" t="str">
        <x:v>Salut den Tieren</x:v>
      </x:c>
      <x:c r="D23" s="20" t="str">
        <x:v>Salut den Tieren : e. Bestiarium</x:v>
      </x:c>
      <x:c r="E23" s="20" t="n">
        <x:v>1983</x:v>
      </x:c>
      <x:c r="F23" s="20" t="n">
        <x:v>1983</x:v>
      </x:c>
      <x:c r="G23" s="20" t="n">
        <x:v>1</x:v>
      </x:c>
      <x:c r="H23" s="20" t="n">
        <x:v>1</x:v>
      </x:c>
      <x:c r="I23" s="20" t="n">
        <x:v>0</x:v>
      </x:c>
      <x:c r="J23" s="20" t="n">
        <x:v>0</x:v>
      </x:c>
      <x:c r="K23" s="20" t="str">
        <x:v>standalone work</x:v>
      </x:c>
      <x:c r="L23" s="20" t="str">
        <x:v>provisional German-original: DNB metadata</x:v>
      </x:c>
      <x:c r="M23" s="20" t="str"/>
      <x:c r="N23" s="33" t="str">
        <x:v>AUTO_KEEP_PROVISIONAL</x:v>
      </x:c>
      <x:c r="O23" s="20" t="str"/>
      <x:c r="P23" s="20" t="str">
        <x:v>cyrus-atabay-b566a483de</x:v>
      </x:c>
      <x:c r="Q23" s="20" t="str">
        <x:v>840173318</x:v>
      </x:c>
      <x:c r="R23" s="20" t="str">
        <x:v>46 Bildende Kunst | 09 Grenzgebiete der Wissenschaft und Esoterik | 59 Belletristik</x:v>
      </x:c>
      <x:c r="S23" s="20" t="str">
        <x:v>Erstausg</x:v>
      </x:c>
      <x:c r="T23" s="20" t="str"/>
      <x:c r="U23" s="20" t="str"/>
      <x:c r="V23" s="25" t="n">
        <x:v>46287.72917824074</x:v>
      </x:c>
    </x:row>
    <x:row r="24" ht="52" customHeight="1">
      <x:c r="A24" s="20" t="str">
        <x:v>work-73503e15d45c</x:v>
      </x:c>
      <x:c r="B24" s="20" t="str">
        <x:v>Cyrus Atabay</x:v>
      </x:c>
      <x:c r="C24" s="20" t="str">
        <x:v>Stadtplan von Samarkand</x:v>
      </x:c>
      <x:c r="D24" s="20" t="str">
        <x:v>Stadtplan von Samarkand : Porträts, Skizzen, Gedichte</x:v>
      </x:c>
      <x:c r="E24" s="20" t="n">
        <x:v>1983</x:v>
      </x:c>
      <x:c r="F24" s="20" t="n">
        <x:v>1983</x:v>
      </x:c>
      <x:c r="G24" s="20" t="n">
        <x:v>1</x:v>
      </x:c>
      <x:c r="H24" s="20" t="n">
        <x:v>1</x:v>
      </x:c>
      <x:c r="I24" s="20" t="n">
        <x:v>0</x:v>
      </x:c>
      <x:c r="J24" s="20" t="n">
        <x:v>0</x:v>
      </x:c>
      <x:c r="K24" s="20" t="str">
        <x:v>standalone work</x:v>
      </x:c>
      <x:c r="L24" s="20" t="str">
        <x:v>provisional German-original: DNB metadata</x:v>
      </x:c>
      <x:c r="M24" s="20" t="str"/>
      <x:c r="N24" s="33" t="str">
        <x:v>AUTO_KEEP_PROVISIONAL</x:v>
      </x:c>
      <x:c r="O24" s="20" t="str"/>
      <x:c r="P24" s="20" t="str">
        <x:v>cyrus-atabay-3d908c8e93</x:v>
      </x:c>
      <x:c r="Q24" s="20" t="str">
        <x:v>830671560</x:v>
      </x:c>
      <x:c r="R24" s="20" t="str">
        <x:v>59 Belletristik | 46 Bildende Kunst | 09 Grenzgebiete der Wissenschaft und Esoterik</x:v>
      </x:c>
      <x:c r="S24" s="20" t="str">
        <x:v>Erstausg</x:v>
      </x:c>
      <x:c r="T24" s="20" t="str"/>
      <x:c r="U24" s="20" t="str"/>
      <x:c r="V24" s="25" t="n">
        <x:v>46287.72917824074</x:v>
      </x:c>
    </x:row>
    <x:row r="25" ht="52" customHeight="1">
      <x:c r="A25" s="20" t="str">
        <x:v>work-613936e994db</x:v>
      </x:c>
      <x:c r="B25" s="20" t="str">
        <x:v>Fahimeh Farsaie</x:v>
      </x:c>
      <x:c r="C25" s="20" t="str">
        <x:v>Eines Dienstags beschloss meine Mutter Deutsche zu werden</x:v>
      </x:c>
      <x:c r="D25" s="20" t="str">
        <x:v>Eines Dienstags beschloss meine Mutter Deutsche zu werden | Eines Dienstags beschloss meine Mutter Deutsche zu werden : Roman</x:v>
      </x:c>
      <x:c r="E25" s="20" t="n">
        <x:v>2006</x:v>
      </x:c>
      <x:c r="F25" s="20" t="n">
        <x:v>2016</x:v>
      </x:c>
      <x:c r="G25" s="20" t="n">
        <x:v>3</x:v>
      </x:c>
      <x:c r="H25" s="20" t="n">
        <x:v>2</x:v>
      </x:c>
      <x:c r="I25" s="20" t="n">
        <x:v>1</x:v>
      </x:c>
      <x:c r="J25" s="20" t="n">
        <x:v>0</x:v>
      </x:c>
      <x:c r="K25" s="20" t="str">
        <x:v>standalone work</x:v>
      </x:c>
      <x:c r="L25" s="20" t="str">
        <x:v>provisional German-original</x:v>
      </x:c>
      <x:c r="M25" s="20" t="str">
        <x:v>Velbrück product page: Farsaie named as author; no translator named</x:v>
      </x:c>
      <x:c r="N25" s="32" t="str">
        <x:v>REVIEW_REQUIRED</x:v>
      </x:c>
      <x:c r="O25" s="20" t="str">
        <x:v>multiple original title groups merged | split-year title variants</x:v>
      </x:c>
      <x:c r="P25" s="20" t="str">
        <x:v>fahimeh-farsaie-3cedcc759b | fahimeh-farsaie-613936e994</x:v>
      </x:c>
      <x:c r="Q25" s="20" t="str">
        <x:v>1060478412 | 1106898818 | 977584119</x:v>
      </x:c>
      <x:c r="R25" s="20" t="str">
        <x:v>830 Deutsche Literatur | B Belletristik</x:v>
      </x:c>
      <x:c r="S25" s="20" t="str">
        <x:v>[1. Auflage]</x:v>
      </x:c>
      <x:c r="T25" s="20" t="str"/>
      <x:c r="U25" s="20" t="str"/>
      <x:c r="V25" s="25" t="n">
        <x:v>46287.72917824074</x:v>
      </x:c>
    </x:row>
    <x:row r="26" ht="52" customHeight="1">
      <x:c r="A26" s="20" t="str">
        <x:v>work-f83fd8ebebd5</x:v>
      </x:c>
      <x:c r="B26" s="20" t="str">
        <x:v>Fahimeh Farsaie</x:v>
      </x:c>
      <x:c r="C26" s="20" t="str">
        <x:v>Nassrins öst-westliche Nacht</x:v>
      </x:c>
      <x:c r="D26" s="20" t="str">
        <x:v>Nassrins öst-westliche Nacht</x:v>
      </x:c>
      <x:c r="E26" s="20" t="n">
        <x:v>2017</x:v>
      </x:c>
      <x:c r="F26" s="20" t="n">
        <x:v>2017</x:v>
      </x:c>
      <x:c r="G26" s="20" t="n">
        <x:v>1</x:v>
      </x:c>
      <x:c r="H26" s="20" t="n">
        <x:v>1</x:v>
      </x:c>
      <x:c r="I26" s="20" t="n">
        <x:v>0</x:v>
      </x:c>
      <x:c r="J26" s="20" t="n">
        <x:v>0</x:v>
      </x:c>
      <x:c r="K26" s="20" t="str">
        <x:v>standalone work</x:v>
      </x:c>
      <x:c r="L26" s="20" t="str">
        <x:v>provisional German-original: DNB metadata</x:v>
      </x:c>
      <x:c r="M26" s="20" t="str"/>
      <x:c r="N26" s="33" t="str">
        <x:v>AUTO_KEEP_PROVISIONAL</x:v>
      </x:c>
      <x:c r="O26" s="20" t="str"/>
      <x:c r="P26" s="20" t="str">
        <x:v>fahimeh-farsaie-7d35d376d0</x:v>
      </x:c>
      <x:c r="Q26" s="20" t="str">
        <x:v>1127004565</x:v>
      </x:c>
      <x:c r="R26" s="20" t="str">
        <x:v>830 Deutsche Literatur | B Belletristik</x:v>
      </x:c>
      <x:c r="S26" s="20" t="str"/>
      <x:c r="T26" s="20" t="str"/>
      <x:c r="U26" s="20" t="str"/>
      <x:c r="V26" s="25" t="n">
        <x:v>46287.72917824074</x:v>
      </x:c>
    </x:row>
    <x:row r="27" ht="52" customHeight="1">
      <x:c r="A27" s="20" t="str">
        <x:v>work-cc632ae2c33b</x:v>
      </x:c>
      <x:c r="B27" s="20" t="str">
        <x:v>Fahimeh Farsaie</x:v>
      </x:c>
      <x:c r="C27" s="20" t="str">
        <x:v>Zamāna-i masmūm</x:v>
      </x:c>
      <x:c r="D27" s="20" t="str">
        <x:v>Zamāna-i masmūm : (duḫtarān wa pidarān) = Vergiftete Zeit</x:v>
      </x:c>
      <x:c r="E27" s="20" t="n">
        <x:v>1992</x:v>
      </x:c>
      <x:c r="F27" s="20" t="n">
        <x:v>1992</x:v>
      </x:c>
      <x:c r="G27" s="20" t="n">
        <x:v>0</x:v>
      </x:c>
      <x:c r="H27" s="20" t="n">
        <x:v>1</x:v>
      </x:c>
      <x:c r="I27" s="20" t="n">
        <x:v>0</x:v>
      </x:c>
      <x:c r="J27" s="20" t="n">
        <x:v>0</x:v>
      </x:c>
      <x:c r="K27" s="20" t="str">
        <x:v>standalone work</x:v>
      </x:c>
      <x:c r="L27" s="20" t="str">
        <x:v>verified translation from Farsi</x:v>
      </x:c>
      <x:c r="M27" s="20" t="str">
        <x:v>DNB record; taz review, 24 January 1992</x:v>
      </x:c>
      <x:c r="N27" s="34" t="str">
        <x:v>MANUAL_EXCLUDE_TRANSLATION</x:v>
      </x:c>
      <x:c r="O27" s="20" t="str">
        <x:v>The taz review confirms that the work was written in Farsi. The DNB record is a separate 1992 IKW edition with a Persian parallel title.</x:v>
      </x:c>
      <x:c r="P27" s="20" t="str">
        <x:v>fahimeh-farsaie-0590becb78</x:v>
      </x:c>
      <x:c r="Q27" s="20" t="str">
        <x:v>931058414</x:v>
      </x:c>
      <x:c r="R27" s="20" t="str">
        <x:v>59 Belletristik</x:v>
      </x:c>
      <x:c r="S27" s="20" t="str"/>
      <x:c r="T27" s="20" t="str">
        <x:v>Vergiftete Zeit</x:v>
      </x:c>
      <x:c r="U27" s="20" t="str"/>
      <x:c r="V27" s="25" t="n">
        <x:v>46287.72917824074</x:v>
      </x:c>
    </x:row>
    <x:row r="28" ht="52" customHeight="1">
      <x:c r="A28" s="20" t="str">
        <x:v>work-44a14352dd0c</x:v>
      </x:c>
      <x:c r="B28" s="20" t="str">
        <x:v>Hengameh Yaghoobifarah</x:v>
      </x:c>
      <x:c r="C28" s="20" t="str">
        <x:v>Ich war auf der Fusion, und alles, was ich bekam, war ein blutiges Herz</x:v>
      </x:c>
      <x:c r="D28" s="20" t="str">
        <x:v>Ich war auf der Fusion, und alles, was ich bekam, war ein blutiges Herz</x:v>
      </x:c>
      <x:c r="E28" s="20" t="n">
        <x:v>2018</x:v>
      </x:c>
      <x:c r="F28" s="20" t="n">
        <x:v>2019</x:v>
      </x:c>
      <x:c r="G28" s="20" t="n">
        <x:v>2</x:v>
      </x:c>
      <x:c r="H28" s="20" t="n">
        <x:v>1</x:v>
      </x:c>
      <x:c r="I28" s="20" t="n">
        <x:v>1</x:v>
      </x:c>
      <x:c r="J28" s="20" t="n">
        <x:v>0</x:v>
      </x:c>
      <x:c r="K28" s="20" t="str">
        <x:v>standalone work</x:v>
      </x:c>
      <x:c r="L28" s="20" t="str">
        <x:v>provisional German-original: DNB metadata</x:v>
      </x:c>
      <x:c r="M28" s="20" t="str"/>
      <x:c r="N28" s="33" t="str">
        <x:v>AUTO_KEEP_PROVISIONAL</x:v>
      </x:c>
      <x:c r="O28" s="20" t="str"/>
      <x:c r="P28" s="20" t="str">
        <x:v>hengameh-yaghoobifarah-44a14352dd</x:v>
      </x:c>
      <x:c r="Q28" s="20" t="str">
        <x:v>1156857996 | 1271262223</x:v>
      </x:c>
      <x:c r="R28" s="20" t="str">
        <x:v>830 Deutsche Literatur | B Belletristik</x:v>
      </x:c>
      <x:c r="S28" s="20" t="str">
        <x:v>1. Auflage</x:v>
      </x:c>
      <x:c r="T28" s="20" t="str"/>
      <x:c r="U28" s="20" t="str"/>
      <x:c r="V28" s="25" t="n">
        <x:v>46287.72917824074</x:v>
      </x:c>
    </x:row>
    <x:row r="29" ht="52" customHeight="1">
      <x:c r="A29" s="20" t="str">
        <x:v>work-dfa642fa684e</x:v>
      </x:c>
      <x:c r="B29" s="20" t="str">
        <x:v>Hengameh Yaghoobifarah</x:v>
      </x:c>
      <x:c r="C29" s="20" t="str">
        <x:v>Ministerium der Träume</x:v>
      </x:c>
      <x:c r="D29" s="20" t="str">
        <x:v>Ministerium der Träume | Ministerium der Träume : Roman</x:v>
      </x:c>
      <x:c r="E29" s="20" t="n">
        <x:v>2021</x:v>
      </x:c>
      <x:c r="F29" s="20" t="n">
        <x:v>2022</x:v>
      </x:c>
      <x:c r="G29" s="20" t="n">
        <x:v>6</x:v>
      </x:c>
      <x:c r="H29" s="20" t="n">
        <x:v>2</x:v>
      </x:c>
      <x:c r="I29" s="20" t="n">
        <x:v>3</x:v>
      </x:c>
      <x:c r="J29" s="20" t="n">
        <x:v>3</x:v>
      </x:c>
      <x:c r="K29" s="20" t="str">
        <x:v>standalone work</x:v>
      </x:c>
      <x:c r="L29" s="20" t="str">
        <x:v>verified German-original</x:v>
      </x:c>
      <x:c r="M29" s="20" t="str">
        <x:v>publisher biography</x:v>
      </x:c>
      <x:c r="N29" s="32" t="str">
        <x:v>REVIEW_REQUIRED</x:v>
      </x:c>
      <x:c r="O29" s="20" t="str">
        <x:v>multiple original title groups merged</x:v>
      </x:c>
      <x:c r="P29" s="20" t="str">
        <x:v>hengameh-yaghoobifarah-0712aa95af | hengameh-yaghoobifarah-56f0109612</x:v>
      </x:c>
      <x:c r="Q29" s="20" t="str">
        <x:v>122173668X | 1223611736 | 1224438329 | 1227186797 | 1255135301 | 126439554X</x:v>
      </x:c>
      <x:c r="R29" s="20" t="str">
        <x:v>830 Deutsche Literatur | B Belletristik</x:v>
      </x:c>
      <x:c r="S29" s="20" t="str">
        <x:v>1. Auflage | Ungekürzte Lesung | gekürzte Ausgabe | 1. Auflage, vollständige Taschenbuchausgabe</x:v>
      </x:c>
      <x:c r="T29" s="20" t="str"/>
      <x:c r="U29" s="20" t="str"/>
      <x:c r="V29" s="25" t="n">
        <x:v>46287.72917824074</x:v>
      </x:c>
    </x:row>
    <x:row r="30" ht="52" customHeight="1">
      <x:c r="A30" s="20" t="str">
        <x:v>work-9621a81ca9ea</x:v>
      </x:c>
      <x:c r="B30" s="20" t="str">
        <x:v>Hengameh Yaghoobifarah</x:v>
      </x:c>
      <x:c r="C30" s="20" t="str">
        <x:v>Schwindel</x:v>
      </x:c>
      <x:c r="D30" s="20" t="str">
        <x:v>Schwindel : Roman</x:v>
      </x:c>
      <x:c r="E30" s="20" t="n">
        <x:v>2024</x:v>
      </x:c>
      <x:c r="F30" s="20" t="n">
        <x:v>2027</x:v>
      </x:c>
      <x:c r="G30" s="20" t="n">
        <x:v>3</x:v>
      </x:c>
      <x:c r="H30" s="20" t="n">
        <x:v>2</x:v>
      </x:c>
      <x:c r="I30" s="20" t="n">
        <x:v>1</x:v>
      </x:c>
      <x:c r="J30" s="20" t="n">
        <x:v>0</x:v>
      </x:c>
      <x:c r="K30" s="20" t="str">
        <x:v>standalone work</x:v>
      </x:c>
      <x:c r="L30" s="20" t="str">
        <x:v>verified German-original</x:v>
      </x:c>
      <x:c r="M30" s="20" t="str">
        <x:v>publisher biography</x:v>
      </x:c>
      <x:c r="N30" s="33" t="str">
        <x:v>AUTO_KEEP_PROVISIONAL</x:v>
      </x:c>
      <x:c r="O30" s="20" t="str"/>
      <x:c r="P30" s="20" t="str">
        <x:v>hengameh-yaghoobifarah-b48e0ecfeb</x:v>
      </x:c>
      <x:c r="Q30" s="20" t="str">
        <x:v>1325502545 | 1334161860 | 1395271798</x:v>
      </x:c>
      <x:c r="R30" s="20" t="str">
        <x:v>830 Deutsche Literatur | B Belletristik</x:v>
      </x:c>
      <x:c r="S30" s="20" t="str">
        <x:v>1. Auflage</x:v>
      </x:c>
      <x:c r="T30" s="20" t="str"/>
      <x:c r="U30" s="20" t="str"/>
      <x:c r="V30" s="25" t="n">
        <x:v>46287.72917824074</x:v>
      </x:c>
    </x:row>
    <x:row r="31" ht="52" customHeight="1">
      <x:c r="A31" s="20" t="str">
        <x:v>work-fbfc61e733b6</x:v>
      </x:c>
      <x:c r="B31" s="20" t="str">
        <x:v>May Atashkar</x:v>
      </x:c>
      <x:c r="C31" s="20" t="str">
        <x:v>Ein Himmel tausend Sterne</x:v>
      </x:c>
      <x:c r="D31" s="20" t="str">
        <x:v>Ein Himmel tausend Sterne</x:v>
      </x:c>
      <x:c r="E31" s="20" t="n">
        <x:v>2012</x:v>
      </x:c>
      <x:c r="F31" s="20" t="n">
        <x:v>2012</x:v>
      </x:c>
      <x:c r="G31" s="20" t="n">
        <x:v>1</x:v>
      </x:c>
      <x:c r="H31" s="20" t="n">
        <x:v>1</x:v>
      </x:c>
      <x:c r="I31" s="20" t="n">
        <x:v>0</x:v>
      </x:c>
      <x:c r="J31" s="20" t="n">
        <x:v>0</x:v>
      </x:c>
      <x:c r="K31" s="20" t="str">
        <x:v>standalone work</x:v>
      </x:c>
      <x:c r="L31" s="20" t="str">
        <x:v>provisional German-original: DNB metadata</x:v>
      </x:c>
      <x:c r="M31" s="20" t="str"/>
      <x:c r="N31" s="32" t="str">
        <x:v>REVIEW_REQUIRED</x:v>
      </x:c>
      <x:c r="O31" s="20" t="str">
        <x:v>thin evidence author</x:v>
      </x:c>
      <x:c r="P31" s="20" t="str">
        <x:v>may-atashkar-fbfc61e733</x:v>
      </x:c>
      <x:c r="Q31" s="20" t="str">
        <x:v>1026743990</x:v>
      </x:c>
      <x:c r="R31" s="20" t="str">
        <x:v>830 Deutsche Literatur | B Belletristik</x:v>
      </x:c>
      <x:c r="S31" s="20" t="str">
        <x:v>1. Aufl</x:v>
      </x:c>
      <x:c r="T31" s="20" t="str"/>
      <x:c r="U31" s="20" t="str"/>
      <x:c r="V31" s="25" t="n">
        <x:v>46287.72917824074</x:v>
      </x:c>
    </x:row>
    <x:row r="32" ht="52" customHeight="1">
      <x:c r="A32" s="20" t="str">
        <x:v>work-83ae0b924fe4</x:v>
      </x:c>
      <x:c r="B32" s="20" t="str">
        <x:v>Mehrnousch Zaeri-Esfahani</x:v>
      </x:c>
      <x:c r="C32" s="20" t="str">
        <x:v>33 Bogen und ein Teehaus</x:v>
      </x:c>
      <x:c r="D32" s="20" t="str">
        <x:v>33 Bogen und ein Teehaus</x:v>
      </x:c>
      <x:c r="E32" s="20" t="n">
        <x:v>2016</x:v>
      </x:c>
      <x:c r="F32" s="20" t="n">
        <x:v>2018</x:v>
      </x:c>
      <x:c r="G32" s="20" t="n">
        <x:v>3</x:v>
      </x:c>
      <x:c r="H32" s="20" t="n">
        <x:v>2</x:v>
      </x:c>
      <x:c r="I32" s="20" t="n">
        <x:v>1</x:v>
      </x:c>
      <x:c r="J32" s="20" t="n">
        <x:v>0</x:v>
      </x:c>
      <x:c r="K32" s="20" t="str">
        <x:v>standalone work</x:v>
      </x:c>
      <x:c r="L32" s="20" t="str">
        <x:v>verified German-original</x:v>
      </x:c>
      <x:c r="M32" s="20" t="str">
        <x:v>publisher biography</x:v>
      </x:c>
      <x:c r="N32" s="33" t="str">
        <x:v>AUTO_KEEP_PROVISIONAL</x:v>
      </x:c>
      <x:c r="O32" s="20" t="str"/>
      <x:c r="P32" s="20" t="str">
        <x:v>mehrnousch-zaeri-esfahan-83ae0b924f</x:v>
      </x:c>
      <x:c r="Q32" s="20" t="str">
        <x:v>1062501705 | 1082289566 | 1156404932</x:v>
      </x:c>
      <x:c r="R32" s="20" t="str">
        <x:v>K Kinder- und Jugendliteratur | 830 Deutsche Literatur | B Belletristik</x:v>
      </x:c>
      <x:c r="S32" s="20" t="str">
        <x:v>1. Auflage</x:v>
      </x:c>
      <x:c r="T32" s="20" t="str"/>
      <x:c r="U32" s="20" t="str"/>
      <x:c r="V32" s="25" t="n">
        <x:v>46287.72917824074</x:v>
      </x:c>
    </x:row>
    <x:row r="33" ht="52" customHeight="1">
      <x:c r="A33" s="20" t="str">
        <x:v>work-a1f4d9e20396</x:v>
      </x:c>
      <x:c r="B33" s="20" t="str">
        <x:v>Mehrnousch Zaeri-Esfahani</x:v>
      </x:c>
      <x:c r="C33" s="20" t="str">
        <x:v>Das Mondmädchen</x:v>
      </x:c>
      <x:c r="D33" s="20" t="str">
        <x:v>Das Mondmädchen</x:v>
      </x:c>
      <x:c r="E33" s="20" t="n">
        <x:v>2015</x:v>
      </x:c>
      <x:c r="F33" s="20" t="n">
        <x:v>2016</x:v>
      </x:c>
      <x:c r="G33" s="20" t="n">
        <x:v>2</x:v>
      </x:c>
      <x:c r="H33" s="20" t="n">
        <x:v>2</x:v>
      </x:c>
      <x:c r="I33" s="20" t="n">
        <x:v>0</x:v>
      </x:c>
      <x:c r="J33" s="20" t="n">
        <x:v>0</x:v>
      </x:c>
      <x:c r="K33" s="20" t="str">
        <x:v>standalone work</x:v>
      </x:c>
      <x:c r="L33" s="20" t="str">
        <x:v>provisional German-original: DNB metadata</x:v>
      </x:c>
      <x:c r="M33" s="20" t="str"/>
      <x:c r="N33" s="33" t="str">
        <x:v>AUTO_KEEP_PROVISIONAL</x:v>
      </x:c>
      <x:c r="O33" s="20" t="str"/>
      <x:c r="P33" s="20" t="str">
        <x:v>mehrnousch-zaeri-esfahan-a024b29e5c</x:v>
      </x:c>
      <x:c r="Q33" s="20" t="str">
        <x:v>1077261551 | 1079809813</x:v>
      </x:c>
      <x:c r="R33" s="20" t="str">
        <x:v>K Kinder- und Jugendliteratur</x:v>
      </x:c>
      <x:c r="S33" s="20" t="str">
        <x:v>[1. Aufl.]</x:v>
      </x:c>
      <x:c r="T33" s="20" t="str"/>
      <x:c r="U33" s="20" t="str"/>
      <x:c r="V33" s="25" t="n">
        <x:v>46287.72917824074</x:v>
      </x:c>
    </x:row>
    <x:row r="34" ht="52" customHeight="1">
      <x:c r="A34" s="20" t="str">
        <x:v>work-f13318138f82</x:v>
      </x:c>
      <x:c r="B34" s="20" t="str">
        <x:v>Mehrnousch Zaeri-Esfahani</x:v>
      </x:c>
      <x:c r="C34" s="20" t="str">
        <x:v>Ein Liekesch für Jascha</x:v>
      </x:c>
      <x:c r="D34" s="20" t="str">
        <x:v>Ein Liekesch für Jascha</x:v>
      </x:c>
      <x:c r="E34" s="20" t="n">
        <x:v>2025</x:v>
      </x:c>
      <x:c r="F34" s="20" t="n">
        <x:v>2025</x:v>
      </x:c>
      <x:c r="G34" s="20" t="n">
        <x:v>1</x:v>
      </x:c>
      <x:c r="H34" s="20" t="n">
        <x:v>1</x:v>
      </x:c>
      <x:c r="I34" s="20" t="n">
        <x:v>0</x:v>
      </x:c>
      <x:c r="J34" s="20" t="n">
        <x:v>0</x:v>
      </x:c>
      <x:c r="K34" s="20" t="str">
        <x:v>co-authored work</x:v>
      </x:c>
      <x:c r="L34" s="20" t="str">
        <x:v>provisional German-original: DNB metadata</x:v>
      </x:c>
      <x:c r="M34" s="20" t="str"/>
      <x:c r="N34" s="32" t="str">
        <x:v>REVIEW_REQUIRED</x:v>
      </x:c>
      <x:c r="O34" s="20" t="str">
        <x:v>multiple authors with Verfasser role</x:v>
      </x:c>
      <x:c r="P34" s="20" t="str">
        <x:v>mehrnousch-zaeri-esfahan-1e437aa548</x:v>
      </x:c>
      <x:c r="Q34" s="20" t="str">
        <x:v>1345703317</x:v>
      </x:c>
      <x:c r="R34" s="20" t="str">
        <x:v>K Kinder- und Jugendliteratur</x:v>
      </x:c>
      <x:c r="S34" s="20" t="str">
        <x:v>1. Auflage</x:v>
      </x:c>
      <x:c r="T34" s="20" t="str"/>
      <x:c r="U34" s="20" t="str"/>
      <x:c r="V34" s="25" t="n">
        <x:v>46287.72917824074</x:v>
      </x:c>
    </x:row>
    <x:row r="35" ht="52" customHeight="1">
      <x:c r="A35" s="20" t="str">
        <x:v>work-e67dd65d2510</x:v>
      </x:c>
      <x:c r="B35" s="20" t="str">
        <x:v>Mehrnousch Zaeri-Esfahani</x:v>
      </x:c>
      <x:c r="C35" s="20" t="str">
        <x:v>Wenn das so einfach wäre</x:v>
      </x:c>
      <x:c r="D35" s="20" t="str">
        <x:v>[Wenn das so einfach wäre] ; Einfach Mensch</x:v>
      </x:c>
      <x:c r="E35" s="20" t="n">
        <x:v>2024</x:v>
      </x:c>
      <x:c r="F35" s="20" t="n">
        <x:v>2024</x:v>
      </x:c>
      <x:c r="G35" s="20" t="n">
        <x:v>1</x:v>
      </x:c>
      <x:c r="H35" s="20" t="n">
        <x:v>1</x:v>
      </x:c>
      <x:c r="I35" s="20" t="n">
        <x:v>0</x:v>
      </x:c>
      <x:c r="J35" s="20" t="n">
        <x:v>0</x:v>
      </x:c>
      <x:c r="K35" s="20" t="str">
        <x:v>standalone work</x:v>
      </x:c>
      <x:c r="L35" s="20" t="str">
        <x:v>provisional German-original: DNB metadata</x:v>
      </x:c>
      <x:c r="M35" s="20" t="str"/>
      <x:c r="N35" s="33" t="str">
        <x:v>AUTO_KEEP_PROVISIONAL</x:v>
      </x:c>
      <x:c r="O35" s="20" t="str"/>
      <x:c r="P35" s="20" t="str">
        <x:v>mehrnousch-zaeri-esfahan-03bae56829</x:v>
      </x:c>
      <x:c r="Q35" s="20" t="str">
        <x:v>1337915203</x:v>
      </x:c>
      <x:c r="R35" s="20" t="str">
        <x:v>K Kinder- und Jugendliteratur</x:v>
      </x:c>
      <x:c r="S35" s="20" t="str">
        <x:v>1. Auflage</x:v>
      </x:c>
      <x:c r="T35" s="20" t="str"/>
      <x:c r="U35" s="20" t="str"/>
      <x:c r="V35" s="25" t="n">
        <x:v>46287.72917824074</x:v>
      </x:c>
    </x:row>
    <x:row r="36" ht="52" customHeight="1">
      <x:c r="A36" s="20" t="str">
        <x:v>work-4fde97f4b7c0</x:v>
      </x:c>
      <x:c r="B36" s="20" t="str">
        <x:v>Mehrnousch Zaeri-Esfahani</x:v>
      </x:c>
      <x:c r="C36" s="20" t="str">
        <x:v>Wenn das so einfach wäre = Kāš bih hamīn rāḥatī būd</x:v>
      </x:c>
      <x:c r="D36" s="20" t="str">
        <x:v>Wenn das so einfach wäre = Kāš bih hamīn rāḥatī būd</x:v>
      </x:c>
      <x:c r="E36" s="20" t="n">
        <x:v>2018</x:v>
      </x:c>
      <x:c r="F36" s="20" t="n">
        <x:v>2018</x:v>
      </x:c>
      <x:c r="G36" s="20" t="n">
        <x:v>1</x:v>
      </x:c>
      <x:c r="H36" s="20" t="n">
        <x:v>1</x:v>
      </x:c>
      <x:c r="I36" s="20" t="n">
        <x:v>0</x:v>
      </x:c>
      <x:c r="J36" s="20" t="n">
        <x:v>0</x:v>
      </x:c>
      <x:c r="K36" s="20" t="str">
        <x:v>standalone work</x:v>
      </x:c>
      <x:c r="L36" s="20" t="str">
        <x:v>provisional German-original: DNB metadata</x:v>
      </x:c>
      <x:c r="M36" s="20" t="str"/>
      <x:c r="N36" s="32" t="str">
        <x:v>REVIEW_REQUIRED</x:v>
      </x:c>
      <x:c r="O36" s="20" t="str">
        <x:v>MARC variant title</x:v>
      </x:c>
      <x:c r="P36" s="20" t="str">
        <x:v>mehrnousch-zaeri-esfahan-3359dab2ae</x:v>
      </x:c>
      <x:c r="Q36" s="20" t="str">
        <x:v>1189945584</x:v>
      </x:c>
      <x:c r="R36" s="20" t="str">
        <x:v>K Kinder- und Jugendliteratur</x:v>
      </x:c>
      <x:c r="S36" s="20" t="str"/>
      <x:c r="T36" s="20" t="str">
        <x:v>Kāš bih hamīn rāḥatī būd</x:v>
      </x:c>
      <x:c r="U36" s="20" t="str"/>
      <x:c r="V36" s="25" t="n">
        <x:v>46287.72917824074</x:v>
      </x:c>
    </x:row>
    <x:row r="37" ht="52" customHeight="1">
      <x:c r="A37" s="20" t="str">
        <x:v>work-5fe149396366</x:v>
      </x:c>
      <x:c r="B37" s="20" t="str">
        <x:v>Mehrnousch Zaeri-Esfahani</x:v>
      </x:c>
      <x:c r="C37" s="20" t="str">
        <x:v>Wer tanzt schon gern allein?</x:v>
      </x:c>
      <x:c r="D37" s="20" t="str">
        <x:v>Wer tanzt schon gern allein? : Bilder, Geschichten und Gedichte zur Demokratie</x:v>
      </x:c>
      <x:c r="E37" s="20" t="n">
        <x:v>2020</x:v>
      </x:c>
      <x:c r="F37" s="20" t="n">
        <x:v>2020</x:v>
      </x:c>
      <x:c r="G37" s="20" t="n">
        <x:v>1</x:v>
      </x:c>
      <x:c r="H37" s="20" t="n">
        <x:v>1</x:v>
      </x:c>
      <x:c r="I37" s="20" t="n">
        <x:v>0</x:v>
      </x:c>
      <x:c r="J37" s="20" t="n">
        <x:v>0</x:v>
      </x:c>
      <x:c r="K37" s="20" t="str">
        <x:v>co-authored work</x:v>
      </x:c>
      <x:c r="L37" s="20" t="str">
        <x:v>provisional German-original: DNB metadata</x:v>
      </x:c>
      <x:c r="M37" s="20" t="str"/>
      <x:c r="N37" s="32" t="str">
        <x:v>REVIEW_REQUIRED</x:v>
      </x:c>
      <x:c r="O37" s="20" t="str">
        <x:v>multiple authors with Verfasser role</x:v>
      </x:c>
      <x:c r="P37" s="20" t="str">
        <x:v>mehrnousch-zaeri-esfahan-4d71bca831</x:v>
      </x:c>
      <x:c r="Q37" s="20" t="str">
        <x:v>1199560677</x:v>
      </x:c>
      <x:c r="R37" s="20" t="str">
        <x:v>K Kinder- und Jugendliteratur</x:v>
      </x:c>
      <x:c r="S37" s="20" t="str">
        <x:v>[1. Auflage]</x:v>
      </x:c>
      <x:c r="T37" s="20" t="str"/>
      <x:c r="U37" s="20" t="str"/>
      <x:c r="V37" s="25" t="n">
        <x:v>46287.72917824074</x:v>
      </x:c>
    </x:row>
    <x:row r="38" ht="52" customHeight="1">
      <x:c r="A38" s="20" t="str">
        <x:v>work-eeaa7ab8d440</x:v>
      </x:c>
      <x:c r="B38" s="20" t="str">
        <x:v>Nasrin Siege</x:v>
      </x:c>
      <x:c r="C38" s="20" t="str">
        <x:v>Als die Elefanten kamen</x:v>
      </x:c>
      <x:c r="D38" s="20" t="str">
        <x:v>Als die Elefanten kamen : Roman</x:v>
      </x:c>
      <x:c r="E38" s="20" t="n">
        <x:v>2001</x:v>
      </x:c>
      <x:c r="F38" s="20" t="n">
        <x:v>2001</x:v>
      </x:c>
      <x:c r="G38" s="20" t="n">
        <x:v>1</x:v>
      </x:c>
      <x:c r="H38" s="20" t="n">
        <x:v>1</x:v>
      </x:c>
      <x:c r="I38" s="20" t="n">
        <x:v>0</x:v>
      </x:c>
      <x:c r="J38" s="20" t="n">
        <x:v>0</x:v>
      </x:c>
      <x:c r="K38" s="20" t="str">
        <x:v>standalone work</x:v>
      </x:c>
      <x:c r="L38" s="20" t="str">
        <x:v>provisional German-original: DNB metadata</x:v>
      </x:c>
      <x:c r="M38" s="20" t="str"/>
      <x:c r="N38" s="33" t="str">
        <x:v>AUTO_KEEP_PROVISIONAL</x:v>
      </x:c>
      <x:c r="O38" s="20" t="str"/>
      <x:c r="P38" s="20" t="str">
        <x:v>nasrin-siege-0a3af218c8</x:v>
      </x:c>
      <x:c r="Q38" s="20" t="str">
        <x:v>962830313</x:v>
      </x:c>
      <x:c r="R38" s="20" t="str">
        <x:v>07 Kinder- und Jugendliteratur</x:v>
      </x:c>
      <x:c r="S38" s="20" t="str">
        <x:v>Orig.-Ausg</x:v>
      </x:c>
      <x:c r="T38" s="20" t="str"/>
      <x:c r="U38" s="20" t="str"/>
      <x:c r="V38" s="25" t="n">
        <x:v>46287.72917824074</x:v>
      </x:c>
    </x:row>
    <x:row r="39" ht="52" customHeight="1">
      <x:c r="A39" s="20" t="str">
        <x:v>work-3ff33fe53dff</x:v>
      </x:c>
      <x:c r="B39" s="20" t="str">
        <x:v>Nasrin Siege</x:v>
      </x:c>
      <x:c r="C39" s="20" t="str">
        <x:v>Asni</x:v>
      </x:c>
      <x:c r="D39" s="20" t="str">
        <x:v>Asni</x:v>
      </x:c>
      <x:c r="E39" s="20" t="n">
        <x:v>2020</x:v>
      </x:c>
      <x:c r="F39" s="20" t="n">
        <x:v>2020</x:v>
      </x:c>
      <x:c r="G39" s="20" t="n">
        <x:v>2</x:v>
      </x:c>
      <x:c r="H39" s="20" t="n">
        <x:v>1</x:v>
      </x:c>
      <x:c r="I39" s="20" t="n">
        <x:v>1</x:v>
      </x:c>
      <x:c r="J39" s="20" t="n">
        <x:v>0</x:v>
      </x:c>
      <x:c r="K39" s="20" t="str">
        <x:v>standalone work</x:v>
      </x:c>
      <x:c r="L39" s="20" t="str">
        <x:v>provisional German-original: DNB metadata</x:v>
      </x:c>
      <x:c r="M39" s="20" t="str"/>
      <x:c r="N39" s="33" t="str">
        <x:v>AUTO_KEEP_PROVISIONAL</x:v>
      </x:c>
      <x:c r="O39" s="20" t="str"/>
      <x:c r="P39" s="20" t="str">
        <x:v>nasrin-siege-3ff33fe53d</x:v>
      </x:c>
      <x:c r="Q39" s="20" t="str">
        <x:v>120043059X | 1207465321</x:v>
      </x:c>
      <x:c r="R39" s="20" t="str">
        <x:v>830 Deutsche Literatur | B Belletristik</x:v>
      </x:c>
      <x:c r="S39" s="20" t="str"/>
      <x:c r="T39" s="20" t="str"/>
      <x:c r="U39" s="20" t="str"/>
      <x:c r="V39" s="25" t="n">
        <x:v>46287.72917824074</x:v>
      </x:c>
    </x:row>
    <x:row r="40" ht="52" customHeight="1">
      <x:c r="A40" s="20" t="str">
        <x:v>work-7f70aaaf3dae</x:v>
      </x:c>
      <x:c r="B40" s="20" t="str">
        <x:v>Nasrin Siege</x:v>
      </x:c>
      <x:c r="C40" s="20" t="str">
        <x:v>Der Honigvogel</x:v>
      </x:c>
      <x:c r="D40" s="20" t="str">
        <x:v>Der Honigvogel : Geschichten aus Afrika</x:v>
      </x:c>
      <x:c r="E40" s="20" t="n">
        <x:v>2016</x:v>
      </x:c>
      <x:c r="F40" s="20" t="n">
        <x:v>2025</x:v>
      </x:c>
      <x:c r="G40" s="20" t="n">
        <x:v>2</x:v>
      </x:c>
      <x:c r="H40" s="20" t="n">
        <x:v>2</x:v>
      </x:c>
      <x:c r="I40" s="20" t="n">
        <x:v>0</x:v>
      </x:c>
      <x:c r="J40" s="20" t="n">
        <x:v>0</x:v>
      </x:c>
      <x:c r="K40" s="20" t="str">
        <x:v>standalone work</x:v>
      </x:c>
      <x:c r="L40" s="20" t="str">
        <x:v>provisional German-original: DNB metadata</x:v>
      </x:c>
      <x:c r="M40" s="20" t="str"/>
      <x:c r="N40" s="33" t="str">
        <x:v>AUTO_KEEP_PROVISIONAL</x:v>
      </x:c>
      <x:c r="O40" s="20" t="str"/>
      <x:c r="P40" s="20" t="str">
        <x:v>nasrin-siege-bcb0dc4a87</x:v>
      </x:c>
      <x:c r="Q40" s="20" t="str">
        <x:v>1088786618 | 1363232169</x:v>
      </x:c>
      <x:c r="R40" s="20" t="str">
        <x:v>K Kinder- und Jugendliteratur</x:v>
      </x:c>
      <x:c r="S40" s="20" t="str">
        <x:v>2. Auflage | Neuauflage</x:v>
      </x:c>
      <x:c r="T40" s="20" t="str"/>
      <x:c r="U40" s="20" t="str"/>
      <x:c r="V40" s="25" t="n">
        <x:v>46287.72917824074</x:v>
      </x:c>
    </x:row>
    <x:row r="41" ht="52" customHeight="1">
      <x:c r="A41" s="20" t="str">
        <x:v>work-ae1f73f7a558</x:v>
      </x:c>
      <x:c r="B41" s="20" t="str">
        <x:v>Nasrin Siege</x:v>
      </x:c>
      <x:c r="C41" s="20" t="str">
        <x:v>Der Tag des Regenbogens</x:v>
      </x:c>
      <x:c r="D41" s="20" t="str">
        <x:v>Der Tag des Regenbogens : Märchen, Mythen und Geschichten</x:v>
      </x:c>
      <x:c r="E41" s="20" t="n">
        <x:v>1995</x:v>
      </x:c>
      <x:c r="F41" s="20" t="n">
        <x:v>1995</x:v>
      </x:c>
      <x:c r="G41" s="20" t="n">
        <x:v>1</x:v>
      </x:c>
      <x:c r="H41" s="20" t="n">
        <x:v>1</x:v>
      </x:c>
      <x:c r="I41" s="20" t="n">
        <x:v>0</x:v>
      </x:c>
      <x:c r="J41" s="20" t="n">
        <x:v>0</x:v>
      </x:c>
      <x:c r="K41" s="20" t="str">
        <x:v>standalone work</x:v>
      </x:c>
      <x:c r="L41" s="20" t="str">
        <x:v>provisional German-original: DNB metadata</x:v>
      </x:c>
      <x:c r="M41" s="20" t="str"/>
      <x:c r="N41" s="33" t="str">
        <x:v>AUTO_KEEP_PROVISIONAL</x:v>
      </x:c>
      <x:c r="O41" s="20" t="str"/>
      <x:c r="P41" s="20" t="str">
        <x:v>nasrin-siege-a001a39a79</x:v>
      </x:c>
      <x:c r="Q41" s="20" t="str">
        <x:v>944114369</x:v>
      </x:c>
      <x:c r="R41" s="20" t="str">
        <x:v>59 Belletristik</x:v>
      </x:c>
      <x:c r="S41" s="20" t="str">
        <x:v>1. Aufl</x:v>
      </x:c>
      <x:c r="T41" s="20" t="str"/>
      <x:c r="U41" s="20" t="str"/>
      <x:c r="V41" s="25" t="n">
        <x:v>46287.72917824074</x:v>
      </x:c>
    </x:row>
    <x:row r="42" ht="52" customHeight="1">
      <x:c r="A42" s="20" t="str">
        <x:v>work-5a554dfc96dd</x:v>
      </x:c>
      <x:c r="B42" s="20" t="str">
        <x:v>Nasrin Siege</x:v>
      </x:c>
      <x:c r="C42" s="20" t="str">
        <x:v>Die Piraten von Libertalia</x:v>
      </x:c>
      <x:c r="D42" s="20" t="str">
        <x:v>Die Piraten von Libertalia | Die Piraten von Libertalia : Roman</x:v>
      </x:c>
      <x:c r="E42" s="20" t="n">
        <x:v>2009</x:v>
      </x:c>
      <x:c r="F42" s="20" t="n">
        <x:v>2022</x:v>
      </x:c>
      <x:c r="G42" s="20" t="n">
        <x:v>3</x:v>
      </x:c>
      <x:c r="H42" s="20" t="n">
        <x:v>3</x:v>
      </x:c>
      <x:c r="I42" s="20" t="n">
        <x:v>0</x:v>
      </x:c>
      <x:c r="J42" s="20" t="n">
        <x:v>0</x:v>
      </x:c>
      <x:c r="K42" s="20" t="str">
        <x:v>standalone work</x:v>
      </x:c>
      <x:c r="L42" s="20" t="str">
        <x:v>provisional German-original: DNB metadata</x:v>
      </x:c>
      <x:c r="M42" s="20" t="str"/>
      <x:c r="N42" s="32" t="str">
        <x:v>REVIEW_REQUIRED</x:v>
      </x:c>
      <x:c r="O42" s="20" t="str">
        <x:v>multiple original title groups merged | split-year title variants</x:v>
      </x:c>
      <x:c r="P42" s="20" t="str">
        <x:v>nasrin-siege-5a554dfc96 | nasrin-siege-fb8f3d3988</x:v>
      </x:c>
      <x:c r="Q42" s="20" t="str">
        <x:v>1176982370 | 1252644671 | 991317602</x:v>
      </x:c>
      <x:c r="R42" s="20" t="str">
        <x:v>830 Deutsche Literatur | B Belletristik | K Kinder- und Jugendliteratur</x:v>
      </x:c>
      <x:c r="S42" s="20" t="str">
        <x:v>1. Auflage</x:v>
      </x:c>
      <x:c r="T42" s="20" t="str"/>
      <x:c r="U42" s="20" t="str"/>
      <x:c r="V42" s="25" t="n">
        <x:v>46287.72917824074</x:v>
      </x:c>
    </x:row>
    <x:row r="43" ht="52" customHeight="1">
      <x:c r="A43" s="20" t="str">
        <x:v>work-495062d2bb77</x:v>
      </x:c>
      <x:c r="B43" s="20" t="str">
        <x:v>Nasrin Siege</x:v>
      </x:c>
      <x:c r="C43" s="20" t="str">
        <x:v>Die Spur des Elefanten</x:v>
      </x:c>
      <x:c r="D43" s="20" t="str">
        <x:v>Die Spur des Elefanten</x:v>
      </x:c>
      <x:c r="E43" s="20" t="n">
        <x:v>2014</x:v>
      </x:c>
      <x:c r="F43" s="20" t="n">
        <x:v>2014</x:v>
      </x:c>
      <x:c r="G43" s="20" t="n">
        <x:v>1</x:v>
      </x:c>
      <x:c r="H43" s="20" t="n">
        <x:v>1</x:v>
      </x:c>
      <x:c r="I43" s="20" t="n">
        <x:v>0</x:v>
      </x:c>
      <x:c r="J43" s="20" t="n">
        <x:v>0</x:v>
      </x:c>
      <x:c r="K43" s="20" t="str">
        <x:v>standalone work</x:v>
      </x:c>
      <x:c r="L43" s="20" t="str">
        <x:v>provisional German-original: DNB metadata</x:v>
      </x:c>
      <x:c r="M43" s="20" t="str"/>
      <x:c r="N43" s="33" t="str">
        <x:v>AUTO_KEEP_PROVISIONAL</x:v>
      </x:c>
      <x:c r="O43" s="20" t="str"/>
      <x:c r="P43" s="20" t="str">
        <x:v>nasrin-siege-495062d2bb</x:v>
      </x:c>
      <x:c r="Q43" s="20" t="str">
        <x:v>104524063X</x:v>
      </x:c>
      <x:c r="R43" s="20" t="str">
        <x:v>K Kinder- und Jugendliteratur</x:v>
      </x:c>
      <x:c r="S43" s="20" t="str"/>
      <x:c r="T43" s="20" t="str"/>
      <x:c r="U43" s="20" t="str"/>
      <x:c r="V43" s="25" t="n">
        <x:v>46287.72917824074</x:v>
      </x:c>
    </x:row>
    <x:row r="44" ht="52" customHeight="1">
      <x:c r="A44" s="20" t="str">
        <x:v>work-7afd9846411f</x:v>
      </x:c>
      <x:c r="B44" s="20" t="str">
        <x:v>Nasrin Siege</x:v>
      </x:c>
      <x:c r="C44" s="20" t="str">
        <x:v>Hyänen im hohen Gras</x:v>
      </x:c>
      <x:c r="D44" s="20" t="str">
        <x:v>Hyänen im hohen Gras : Spuren in der Serengeti ; Erzählung</x:v>
      </x:c>
      <x:c r="E44" s="20" t="n">
        <x:v>2004</x:v>
      </x:c>
      <x:c r="F44" s="20" t="n">
        <x:v>2004</x:v>
      </x:c>
      <x:c r="G44" s="20" t="n">
        <x:v>1</x:v>
      </x:c>
      <x:c r="H44" s="20" t="n">
        <x:v>1</x:v>
      </x:c>
      <x:c r="I44" s="20" t="n">
        <x:v>0</x:v>
      </x:c>
      <x:c r="J44" s="20" t="n">
        <x:v>0</x:v>
      </x:c>
      <x:c r="K44" s="20" t="str">
        <x:v>standalone work</x:v>
      </x:c>
      <x:c r="L44" s="20" t="str">
        <x:v>provisional German-original: DNB metadata</x:v>
      </x:c>
      <x:c r="M44" s="20" t="str"/>
      <x:c r="N44" s="33" t="str">
        <x:v>AUTO_KEEP_PROVISIONAL</x:v>
      </x:c>
      <x:c r="O44" s="20" t="str"/>
      <x:c r="P44" s="20" t="str">
        <x:v>nasrin-siege-3c309e32a4</x:v>
      </x:c>
      <x:c r="Q44" s="20" t="str">
        <x:v>971458839</x:v>
      </x:c>
      <x:c r="R44" s="20" t="str">
        <x:v>K Kinder- und Jugendliteratur</x:v>
      </x:c>
      <x:c r="S44" s="20" t="str">
        <x:v>1. Aufl</x:v>
      </x:c>
      <x:c r="T44" s="20" t="str"/>
      <x:c r="U44" s="20" t="str"/>
      <x:c r="V44" s="25" t="n">
        <x:v>46287.72917824074</x:v>
      </x:c>
    </x:row>
    <x:row r="45" ht="52" customHeight="1">
      <x:c r="A45" s="20" t="str">
        <x:v>work-4bc800290b60</x:v>
      </x:c>
      <x:c r="B45" s="20" t="str">
        <x:v>Nasrin Siege</x:v>
      </x:c>
      <x:c r="C45" s="20" t="str">
        <x:v>Ich kehre zurück, Dadabé</x:v>
      </x:c>
      <x:c r="D45" s="20" t="str">
        <x:v>"Ich kehre zurück, Dadabé" : die Geschichte eines madagassischen Mädchens</x:v>
      </x:c>
      <x:c r="E45" s="20" t="n">
        <x:v>2011</x:v>
      </x:c>
      <x:c r="F45" s="20" t="n">
        <x:v>2018</x:v>
      </x:c>
      <x:c r="G45" s="20" t="n">
        <x:v>2</x:v>
      </x:c>
      <x:c r="H45" s="20" t="n">
        <x:v>2</x:v>
      </x:c>
      <x:c r="I45" s="20" t="n">
        <x:v>0</x:v>
      </x:c>
      <x:c r="J45" s="20" t="n">
        <x:v>0</x:v>
      </x:c>
      <x:c r="K45" s="20" t="str">
        <x:v>standalone work</x:v>
      </x:c>
      <x:c r="L45" s="20" t="str">
        <x:v>provisional German-original: DNB metadata</x:v>
      </x:c>
      <x:c r="M45" s="20" t="str"/>
      <x:c r="N45" s="33" t="str">
        <x:v>AUTO_KEEP_PROVISIONAL</x:v>
      </x:c>
      <x:c r="O45" s="20" t="str"/>
      <x:c r="P45" s="20" t="str">
        <x:v>nasrin-siege-18857a3b01</x:v>
      </x:c>
      <x:c r="Q45" s="20" t="str">
        <x:v>101163466X | 1176686070</x:v>
      </x:c>
      <x:c r="R45" s="20" t="str">
        <x:v>830 Deutsche Literatur | B Belletristik</x:v>
      </x:c>
      <x:c r="S45" s="20" t="str">
        <x:v>1. Aufl | 2. Auflage</x:v>
      </x:c>
      <x:c r="T45" s="20" t="str"/>
      <x:c r="U45" s="20" t="str"/>
      <x:c r="V45" s="25" t="n">
        <x:v>46287.72917824074</x:v>
      </x:c>
    </x:row>
    <x:row r="46" ht="52" customHeight="1">
      <x:c r="A46" s="20" t="str">
        <x:v>work-42870c19b612</x:v>
      </x:c>
      <x:c r="B46" s="20" t="str">
        <x:v>Nasrin Siege</x:v>
      </x:c>
      <x:c r="C46" s="20" t="str">
        <x:v>Juma</x:v>
      </x:c>
      <x:c r="D46" s="20" t="str">
        <x:v>Juma : Ein Straßenkind aus Tansania | Juma : ein Straßenkind aus Tansania : Roman</x:v>
      </x:c>
      <x:c r="E46" s="20" t="n">
        <x:v>2015</x:v>
      </x:c>
      <x:c r="F46" s="20" t="n">
        <x:v>2025</x:v>
      </x:c>
      <x:c r="G46" s="20" t="n">
        <x:v>2</x:v>
      </x:c>
      <x:c r="H46" s="20" t="n">
        <x:v>1</x:v>
      </x:c>
      <x:c r="I46" s="20" t="n">
        <x:v>1</x:v>
      </x:c>
      <x:c r="J46" s="20" t="n">
        <x:v>0</x:v>
      </x:c>
      <x:c r="K46" s="20" t="str">
        <x:v>standalone work</x:v>
      </x:c>
      <x:c r="L46" s="20" t="str">
        <x:v>provisional German-original: DNB metadata</x:v>
      </x:c>
      <x:c r="M46" s="20" t="str"/>
      <x:c r="N46" s="32" t="str">
        <x:v>REVIEW_REQUIRED</x:v>
      </x:c>
      <x:c r="O46" s="20" t="str">
        <x:v>revised or expanded edition statement | multiple original title groups merged | split-year title variants</x:v>
      </x:c>
      <x:c r="P46" s="20" t="str">
        <x:v>nasrin-siege-35d70d1e76 | nasrin-siege-ca3988a5e4</x:v>
      </x:c>
      <x:c r="Q46" s="20" t="str">
        <x:v>1070905445 | 1367659213</x:v>
      </x:c>
      <x:c r="R46" s="20" t="str">
        <x:v>K Kinder- und Jugendliteratur</x:v>
      </x:c>
      <x:c r="S46" s="20" t="str">
        <x:v>1. Aufl | Neuausgabe</x:v>
      </x:c>
      <x:c r="T46" s="20" t="str"/>
      <x:c r="U46" s="20" t="str"/>
      <x:c r="V46" s="25" t="n">
        <x:v>46287.72917824074</x:v>
      </x:c>
    </x:row>
    <x:row r="47" ht="52" customHeight="1">
      <x:c r="A47" s="20" t="str">
        <x:v>work-ad0a53168c7c</x:v>
      </x:c>
      <x:c r="B47" s="20" t="str">
        <x:v>Nasrin Siege</x:v>
      </x:c>
      <x:c r="C47" s="20" t="str">
        <x:v>Mama Baobab</x:v>
      </x:c>
      <x:c r="D47" s="20" t="str">
        <x:v>Mama Baobab</x:v>
      </x:c>
      <x:c r="E47" s="20" t="n">
        <x:v>2023</x:v>
      </x:c>
      <x:c r="F47" s="20" t="n">
        <x:v>2023</x:v>
      </x:c>
      <x:c r="G47" s="20" t="n">
        <x:v>1</x:v>
      </x:c>
      <x:c r="H47" s="20" t="n">
        <x:v>1</x:v>
      </x:c>
      <x:c r="I47" s="20" t="n">
        <x:v>0</x:v>
      </x:c>
      <x:c r="J47" s="20" t="n">
        <x:v>0</x:v>
      </x:c>
      <x:c r="K47" s="20" t="str">
        <x:v>standalone work</x:v>
      </x:c>
      <x:c r="L47" s="20" t="str">
        <x:v>provisional German-original: DNB metadata</x:v>
      </x:c>
      <x:c r="M47" s="20" t="str"/>
      <x:c r="N47" s="33" t="str">
        <x:v>AUTO_KEEP_PROVISIONAL</x:v>
      </x:c>
      <x:c r="O47" s="20" t="str"/>
      <x:c r="P47" s="20" t="str">
        <x:v>nasrin-siege-ad0a53168c</x:v>
      </x:c>
      <x:c r="Q47" s="20" t="str">
        <x:v>1275515347</x:v>
      </x:c>
      <x:c r="R47" s="20" t="str">
        <x:v>K Kinder- und Jugendliteratur</x:v>
      </x:c>
      <x:c r="S47" s="20" t="str"/>
      <x:c r="T47" s="20" t="str"/>
      <x:c r="U47" s="20" t="str"/>
      <x:c r="V47" s="25" t="n">
        <x:v>46287.72917824074</x:v>
      </x:c>
    </x:row>
    <x:row r="48" ht="52" customHeight="1">
      <x:c r="A48" s="20" t="str">
        <x:v>work-2253f759243c</x:v>
      </x:c>
      <x:c r="B48" s="20" t="str">
        <x:v>Nasrin Siege</x:v>
      </x:c>
      <x:c r="C48" s="20" t="str">
        <x:v>Mama Weihnacht</x:v>
      </x:c>
      <x:c r="D48" s="20" t="str">
        <x:v>Mama Weihnacht</x:v>
      </x:c>
      <x:c r="E48" s="20" t="n">
        <x:v>2022</x:v>
      </x:c>
      <x:c r="F48" s="20" t="n">
        <x:v>2022</x:v>
      </x:c>
      <x:c r="G48" s="20" t="n">
        <x:v>1</x:v>
      </x:c>
      <x:c r="H48" s="20" t="n">
        <x:v>1</x:v>
      </x:c>
      <x:c r="I48" s="20" t="n">
        <x:v>0</x:v>
      </x:c>
      <x:c r="J48" s="20" t="n">
        <x:v>0</x:v>
      </x:c>
      <x:c r="K48" s="20" t="str">
        <x:v>standalone work</x:v>
      </x:c>
      <x:c r="L48" s="20" t="str">
        <x:v>provisional German-original: DNB metadata</x:v>
      </x:c>
      <x:c r="M48" s="20" t="str"/>
      <x:c r="N48" s="33" t="str">
        <x:v>AUTO_KEEP_PROVISIONAL</x:v>
      </x:c>
      <x:c r="O48" s="20" t="str"/>
      <x:c r="P48" s="20" t="str">
        <x:v>nasrin-siege-2253f75924</x:v>
      </x:c>
      <x:c r="Q48" s="20" t="str">
        <x:v>1273623010</x:v>
      </x:c>
      <x:c r="R48" s="20" t="str">
        <x:v>K Kinder- und Jugendliteratur</x:v>
      </x:c>
      <x:c r="S48" s="20" t="str">
        <x:v>1. Auflage</x:v>
      </x:c>
      <x:c r="T48" s="20" t="str"/>
      <x:c r="U48" s="20" t="str"/>
      <x:c r="V48" s="25" t="n">
        <x:v>46287.72917824074</x:v>
      </x:c>
    </x:row>
    <x:row r="49" ht="52" customHeight="1">
      <x:c r="A49" s="20" t="str">
        <x:v>work-9d8d2df25308</x:v>
      </x:c>
      <x:c r="B49" s="20" t="str">
        <x:v>Nasrin Siege</x:v>
      </x:c>
      <x:c r="C49" s="20" t="str">
        <x:v>Mandeln und Rosinen</x:v>
      </x:c>
      <x:c r="D49" s="20" t="str">
        <x:v>Mandeln und Rosinen</x:v>
      </x:c>
      <x:c r="E49" s="20" t="n">
        <x:v>2022</x:v>
      </x:c>
      <x:c r="F49" s="20" t="n">
        <x:v>2022</x:v>
      </x:c>
      <x:c r="G49" s="20" t="n">
        <x:v>1</x:v>
      </x:c>
      <x:c r="H49" s="20" t="n">
        <x:v>1</x:v>
      </x:c>
      <x:c r="I49" s="20" t="n">
        <x:v>0</x:v>
      </x:c>
      <x:c r="J49" s="20" t="n">
        <x:v>0</x:v>
      </x:c>
      <x:c r="K49" s="20" t="str">
        <x:v>standalone work</x:v>
      </x:c>
      <x:c r="L49" s="20" t="str">
        <x:v>provisional German-original: DNB metadata</x:v>
      </x:c>
      <x:c r="M49" s="20" t="str"/>
      <x:c r="N49" s="33" t="str">
        <x:v>AUTO_KEEP_PROVISIONAL</x:v>
      </x:c>
      <x:c r="O49" s="20" t="str"/>
      <x:c r="P49" s="20" t="str">
        <x:v>nasrin-siege-9d8d2df253</x:v>
      </x:c>
      <x:c r="Q49" s="20" t="str">
        <x:v>1264237421</x:v>
      </x:c>
      <x:c r="R49" s="20" t="str">
        <x:v>830 Deutsche Literatur | B Belletristik</x:v>
      </x:c>
      <x:c r="S49" s="20" t="str">
        <x:v>1. Auflage</x:v>
      </x:c>
      <x:c r="T49" s="20" t="str"/>
      <x:c r="U49" s="20" t="str"/>
      <x:c r="V49" s="25" t="n">
        <x:v>46287.72917824074</x:v>
      </x:c>
    </x:row>
    <x:row r="50" ht="52" customHeight="1">
      <x:c r="A50" s="20" t="str">
        <x:v>work-b800a7702ef0</x:v>
      </x:c>
      <x:c r="B50" s="20" t="str">
        <x:v>Nasrin Siege</x:v>
      </x:c>
      <x:c r="C50" s="20" t="str">
        <x:v>Morgen kommt die Hyäne zum Essen</x:v>
      </x:c>
      <x:c r="D50" s="20" t="str">
        <x:v>Morgen kommt die Hyäne zum Essen : afrikanische Tiergeschichten</x:v>
      </x:c>
      <x:c r="E50" s="20" t="n">
        <x:v>2019</x:v>
      </x:c>
      <x:c r="F50" s="20" t="n">
        <x:v>2019</x:v>
      </x:c>
      <x:c r="G50" s="20" t="n">
        <x:v>1</x:v>
      </x:c>
      <x:c r="H50" s="20" t="n">
        <x:v>1</x:v>
      </x:c>
      <x:c r="I50" s="20" t="n">
        <x:v>0</x:v>
      </x:c>
      <x:c r="J50" s="20" t="n">
        <x:v>0</x:v>
      </x:c>
      <x:c r="K50" s="20" t="str">
        <x:v>standalone work</x:v>
      </x:c>
      <x:c r="L50" s="20" t="str">
        <x:v>provisional German-original: DNB metadata</x:v>
      </x:c>
      <x:c r="M50" s="20" t="str"/>
      <x:c r="N50" s="33" t="str">
        <x:v>AUTO_KEEP_PROVISIONAL</x:v>
      </x:c>
      <x:c r="O50" s="20" t="str"/>
      <x:c r="P50" s="20" t="str">
        <x:v>nasrin-siege-2e76aa6844</x:v>
      </x:c>
      <x:c r="Q50" s="20" t="str">
        <x:v>1170255833</x:v>
      </x:c>
      <x:c r="R50" s="20" t="str">
        <x:v>K Kinder- und Jugendliteratur</x:v>
      </x:c>
      <x:c r="S50" s="20" t="str"/>
      <x:c r="T50" s="20" t="str"/>
      <x:c r="U50" s="20" t="str"/>
      <x:c r="V50" s="25" t="n">
        <x:v>46287.72917824074</x:v>
      </x:c>
    </x:row>
    <x:row r="51" ht="52" customHeight="1">
      <x:c r="A51" s="20" t="str">
        <x:v>work-18f3477fd33e</x:v>
      </x:c>
      <x:c r="B51" s="20" t="str">
        <x:v>Nasrin Siege</x:v>
      </x:c>
      <x:c r="C51" s="20" t="str">
        <x:v>Shirin</x:v>
      </x:c>
      <x:c r="D51" s="20" t="str">
        <x:v>Shirin : Roman | Shirin : wo gehöre ich hin?</x:v>
      </x:c>
      <x:c r="E51" s="20" t="n">
        <x:v>1996</x:v>
      </x:c>
      <x:c r="F51" s="20" t="n">
        <x:v>2015</x:v>
      </x:c>
      <x:c r="G51" s="20" t="n">
        <x:v>2</x:v>
      </x:c>
      <x:c r="H51" s="20" t="n">
        <x:v>2</x:v>
      </x:c>
      <x:c r="I51" s="20" t="n">
        <x:v>0</x:v>
      </x:c>
      <x:c r="J51" s="20" t="n">
        <x:v>0</x:v>
      </x:c>
      <x:c r="K51" s="20" t="str">
        <x:v>standalone work</x:v>
      </x:c>
      <x:c r="L51" s="20" t="str">
        <x:v>provisional German-original: DNB metadata</x:v>
      </x:c>
      <x:c r="M51" s="20" t="str"/>
      <x:c r="N51" s="32" t="str">
        <x:v>REVIEW_REQUIRED</x:v>
      </x:c>
      <x:c r="O51" s="20" t="str">
        <x:v>multiple original title groups merged | split-year title variants</x:v>
      </x:c>
      <x:c r="P51" s="20" t="str">
        <x:v>nasrin-siege-2d75d2a687 | nasrin-siege-66f7e2c38f</x:v>
      </x:c>
      <x:c r="Q51" s="20" t="str">
        <x:v>1058339354 | 947000291</x:v>
      </x:c>
      <x:c r="R51" s="20" t="str">
        <x:v>K Kinder- und Jugendliteratur | 07 Kinder- und Jugendliteratur</x:v>
      </x:c>
      <x:c r="S51" s="20" t="str"/>
      <x:c r="T51" s="20" t="str"/>
      <x:c r="U51" s="20" t="str"/>
      <x:c r="V51" s="25" t="n">
        <x:v>46287.72917824074</x:v>
      </x:c>
    </x:row>
    <x:row r="52" ht="52" customHeight="1">
      <x:c r="A52" s="20" t="str">
        <x:v>work-98b81fb72365</x:v>
      </x:c>
      <x:c r="B52" s="20" t="str">
        <x:v>Nasrin Siege</x:v>
      </x:c>
      <x:c r="C52" s="20" t="str">
        <x:v>Sombo, das Mädchen vom Fluß</x:v>
      </x:c>
      <x:c r="D52" s="20" t="str">
        <x:v>Sombo, das Mädchen vom Fluß : Erzählung</x:v>
      </x:c>
      <x:c r="E52" s="20" t="n">
        <x:v>1997</x:v>
      </x:c>
      <x:c r="F52" s="20" t="n">
        <x:v>1997</x:v>
      </x:c>
      <x:c r="G52" s="20" t="n">
        <x:v>1</x:v>
      </x:c>
      <x:c r="H52" s="20" t="n">
        <x:v>1</x:v>
      </x:c>
      <x:c r="I52" s="20" t="n">
        <x:v>0</x:v>
      </x:c>
      <x:c r="J52" s="20" t="n">
        <x:v>0</x:v>
      </x:c>
      <x:c r="K52" s="20" t="str">
        <x:v>standalone work</x:v>
      </x:c>
      <x:c r="L52" s="20" t="str">
        <x:v>provisional German-original: DNB metadata</x:v>
      </x:c>
      <x:c r="M52" s="20" t="str"/>
      <x:c r="N52" s="33" t="str">
        <x:v>AUTO_KEEP_PROVISIONAL</x:v>
      </x:c>
      <x:c r="O52" s="20" t="str"/>
      <x:c r="P52" s="20" t="str">
        <x:v>nasrin-siege-15efbe548b</x:v>
      </x:c>
      <x:c r="Q52" s="20" t="str">
        <x:v>953830616</x:v>
      </x:c>
      <x:c r="R52" s="20" t="str">
        <x:v>07 Kinder- und Jugendliteratur</x:v>
      </x:c>
      <x:c r="S52" s="20" t="str">
        <x:v>[Blindendr.]</x:v>
      </x:c>
      <x:c r="T52" s="20" t="str"/>
      <x:c r="U52" s="20" t="str"/>
      <x:c r="V52" s="25" t="n">
        <x:v>46287.72917824074</x:v>
      </x:c>
    </x:row>
    <x:row r="53" ht="52" customHeight="1">
      <x:c r="A53" s="20" t="str">
        <x:v>work-0c9b32695d20</x:v>
      </x:c>
      <x:c r="B53" s="20" t="str">
        <x:v>Nasrin Siege</x:v>
      </x:c>
      <x:c r="C53" s="20" t="str">
        <x:v>Sombo, das Mädchen vom Fluss</x:v>
      </x:c>
      <x:c r="D53" s="20" t="str">
        <x:v>Sombo, das Mädchen vom Fluss | Sombo, das Mädchen vom Fluss : Erzählung</x:v>
      </x:c>
      <x:c r="E53" s="20" t="n">
        <x:v>1990</x:v>
      </x:c>
      <x:c r="F53" s="20" t="n">
        <x:v>2025</x:v>
      </x:c>
      <x:c r="G53" s="20" t="n">
        <x:v>8</x:v>
      </x:c>
      <x:c r="H53" s="20" t="n">
        <x:v>7</x:v>
      </x:c>
      <x:c r="I53" s="20" t="n">
        <x:v>1</x:v>
      </x:c>
      <x:c r="J53" s="20" t="n">
        <x:v>0</x:v>
      </x:c>
      <x:c r="K53" s="20" t="str">
        <x:v>standalone work</x:v>
      </x:c>
      <x:c r="L53" s="20" t="str">
        <x:v>provisional German-original: DNB metadata</x:v>
      </x:c>
      <x:c r="M53" s="20" t="str"/>
      <x:c r="N53" s="32" t="str">
        <x:v>REVIEW_REQUIRED</x:v>
      </x:c>
      <x:c r="O53" s="20" t="str">
        <x:v>revised or expanded edition statement | multiple original title groups merged | split-year title variants</x:v>
      </x:c>
      <x:c r="P53" s="20" t="str">
        <x:v>nasrin-siege-15efbe548b | nasrin-siege-8bfc6f903e</x:v>
      </x:c>
      <x:c r="Q53" s="20" t="str">
        <x:v>1036449033 | 1388067358 | 901321850 | 910910383 | 940332094 | 942082494 | 944785905 | 964184583</x:v>
      </x:c>
      <x:c r="R53" s="20" t="str">
        <x:v>K Kinder- und Jugendliteratur | 07 Kinder- und Jugendliteratur</x:v>
      </x:c>
      <x:c r="S53" s="20" t="str">
        <x:v>1. Aufl | Neuausgabe | 2. Aufl., 9. - 12. Tsd | [2. Aufl.] | [3. Aufl.] | [7. Aufl.]</x:v>
      </x:c>
      <x:c r="T53" s="20" t="str"/>
      <x:c r="U53" s="20" t="str"/>
      <x:c r="V53" s="25" t="n">
        <x:v>46287.72917824074</x:v>
      </x:c>
    </x:row>
    <x:row r="54" ht="52" customHeight="1">
      <x:c r="A54" s="20" t="str">
        <x:v>work-bf80d64554c7</x:v>
      </x:c>
      <x:c r="B54" s="20" t="str">
        <x:v>Nasrin Siege</x:v>
      </x:c>
      <x:c r="C54" s="20" t="str">
        <x:v>Wenn der Löwe brüllt</x:v>
      </x:c>
      <x:c r="D54" s="20" t="str">
        <x:v>Wenn der Löwe brüllt</x:v>
      </x:c>
      <x:c r="E54" s="20" t="n">
        <x:v>2023</x:v>
      </x:c>
      <x:c r="F54" s="20" t="n">
        <x:v>2023</x:v>
      </x:c>
      <x:c r="G54" s="20" t="n">
        <x:v>1</x:v>
      </x:c>
      <x:c r="H54" s="20" t="n">
        <x:v>1</x:v>
      </x:c>
      <x:c r="I54" s="20" t="n">
        <x:v>0</x:v>
      </x:c>
      <x:c r="J54" s="20" t="n">
        <x:v>0</x:v>
      </x:c>
      <x:c r="K54" s="20" t="str">
        <x:v>standalone work</x:v>
      </x:c>
      <x:c r="L54" s="20" t="str">
        <x:v>provisional German-original: DNB metadata</x:v>
      </x:c>
      <x:c r="M54" s="20" t="str"/>
      <x:c r="N54" s="33" t="str">
        <x:v>AUTO_KEEP_PROVISIONAL</x:v>
      </x:c>
      <x:c r="O54" s="20" t="str"/>
      <x:c r="P54" s="20" t="str">
        <x:v>nasrin-siege-59db0a94ad</x:v>
      </x:c>
      <x:c r="Q54" s="20" t="str">
        <x:v>1278511555</x:v>
      </x:c>
      <x:c r="R54" s="20" t="str">
        <x:v>K Kinder- und Jugendliteratur</x:v>
      </x:c>
      <x:c r="S54" s="20" t="str">
        <x:v>Sonderausgabe für die Bundeszentrale für politische Bildung</x:v>
      </x:c>
      <x:c r="T54" s="20" t="str"/>
      <x:c r="U54" s="20" t="str"/>
      <x:c r="V54" s="25" t="n">
        <x:v>46287.72917824074</x:v>
      </x:c>
    </x:row>
    <x:row r="55" ht="52" customHeight="1">
      <x:c r="A55" s="20" t="str">
        <x:v>work-96ad4e4d3feb</x:v>
      </x:c>
      <x:c r="B55" s="20" t="str">
        <x:v>Nasrin Siege</x:v>
      </x:c>
      <x:c r="C55" s="20" t="str">
        <x:v>Wie der Fluß in meinem Dorf</x:v>
      </x:c>
      <x:c r="D55" s="20" t="str">
        <x:v>Wie der Fluß in meinem Dorf : Erzählung</x:v>
      </x:c>
      <x:c r="E55" s="20" t="n">
        <x:v>1997</x:v>
      </x:c>
      <x:c r="F55" s="20" t="n">
        <x:v>1997</x:v>
      </x:c>
      <x:c r="G55" s="20" t="n">
        <x:v>1</x:v>
      </x:c>
      <x:c r="H55" s="20" t="n">
        <x:v>1</x:v>
      </x:c>
      <x:c r="I55" s="20" t="n">
        <x:v>0</x:v>
      </x:c>
      <x:c r="J55" s="20" t="n">
        <x:v>0</x:v>
      </x:c>
      <x:c r="K55" s="20" t="str">
        <x:v>standalone work</x:v>
      </x:c>
      <x:c r="L55" s="20" t="str">
        <x:v>provisional German-original: DNB metadata</x:v>
      </x:c>
      <x:c r="M55" s="20" t="str"/>
      <x:c r="N55" s="33" t="str">
        <x:v>AUTO_KEEP_PROVISIONAL</x:v>
      </x:c>
      <x:c r="O55" s="20" t="str"/>
      <x:c r="P55" s="20" t="str">
        <x:v>nasrin-siege-a887aba7ba</x:v>
      </x:c>
      <x:c r="Q55" s="20" t="str">
        <x:v>953896153</x:v>
      </x:c>
      <x:c r="R55" s="20" t="str">
        <x:v>07 Kinder- und Jugendliteratur</x:v>
      </x:c>
      <x:c r="S55" s="20" t="str">
        <x:v>[Blindendr.]</x:v>
      </x:c>
      <x:c r="T55" s="20" t="str"/>
      <x:c r="U55" s="20" t="str"/>
      <x:c r="V55" s="25" t="n">
        <x:v>46287.72917824074</x:v>
      </x:c>
    </x:row>
    <x:row r="56" ht="52" customHeight="1">
      <x:c r="A56" s="20" t="str">
        <x:v>work-60405afad1c0</x:v>
      </x:c>
      <x:c r="B56" s="20" t="str">
        <x:v>Nasrin Siege</x:v>
      </x:c>
      <x:c r="C56" s="20" t="str">
        <x:v>Wie der Fluss in meinem Dorf</x:v>
      </x:c>
      <x:c r="D56" s="20" t="str">
        <x:v>Wie der Fluss in meinem Dorf | Wie der Fluss in meinem Dorf : Erzählung</x:v>
      </x:c>
      <x:c r="E56" s="20" t="n">
        <x:v>1994</x:v>
      </x:c>
      <x:c r="F56" s="20" t="n">
        <x:v>2026</x:v>
      </x:c>
      <x:c r="G56" s="20" t="n">
        <x:v>7</x:v>
      </x:c>
      <x:c r="H56" s="20" t="n">
        <x:v>6</x:v>
      </x:c>
      <x:c r="I56" s="20" t="n">
        <x:v>1</x:v>
      </x:c>
      <x:c r="J56" s="20" t="n">
        <x:v>0</x:v>
      </x:c>
      <x:c r="K56" s="20" t="str">
        <x:v>standalone work</x:v>
      </x:c>
      <x:c r="L56" s="20" t="str">
        <x:v>provisional German-original: DNB metadata</x:v>
      </x:c>
      <x:c r="M56" s="20" t="str"/>
      <x:c r="N56" s="32" t="str">
        <x:v>REVIEW_REQUIRED</x:v>
      </x:c>
      <x:c r="O56" s="20" t="str">
        <x:v>revised or expanded edition statement | multiple original title groups merged | split-year title variants</x:v>
      </x:c>
      <x:c r="P56" s="20" t="str">
        <x:v>nasrin-siege-60405afad1 | nasrin-siege-a887aba7ba</x:v>
      </x:c>
      <x:c r="Q56" s="20" t="str">
        <x:v>1209962926 | 1236855612 | 124642794X | 1403693382 | 94066464X | 947646175 | 96367143X</x:v>
      </x:c>
      <x:c r="R56" s="20" t="str">
        <x:v>K Kinder- und Jugendliteratur | 07 Kinder- und Jugendliteratur</x:v>
      </x:c>
      <x:c r="S56" s="20" t="str">
        <x:v>1. Auflage | 1. Auflage, revidierte Auflage | Neuausgabe | [4. Aufl.]</x:v>
      </x:c>
      <x:c r="T56" s="20" t="str"/>
      <x:c r="U56" s="20" t="str"/>
      <x:c r="V56" s="25" t="n">
        <x:v>46287.72917824074</x:v>
      </x:c>
    </x:row>
    <x:row r="57" ht="52" customHeight="1">
      <x:c r="A57" s="20" t="str">
        <x:v>work-996d3a4a28ed</x:v>
      </x:c>
      <x:c r="B57" s="20" t="str">
        <x:v>Nasrin Siege</x:v>
      </x:c>
      <x:c r="C57" s="20" t="str">
        <x:v>Wo ist Bubu?</x:v>
      </x:c>
      <x:c r="D57" s="20" t="str">
        <x:v>Wo ist Bubu?</x:v>
      </x:c>
      <x:c r="E57" s="20" t="n">
        <x:v>2026</x:v>
      </x:c>
      <x:c r="F57" s="20" t="n">
        <x:v>2026</x:v>
      </x:c>
      <x:c r="G57" s="20" t="n">
        <x:v>1</x:v>
      </x:c>
      <x:c r="H57" s="20" t="n">
        <x:v>1</x:v>
      </x:c>
      <x:c r="I57" s="20" t="n">
        <x:v>0</x:v>
      </x:c>
      <x:c r="J57" s="20" t="n">
        <x:v>0</x:v>
      </x:c>
      <x:c r="K57" s="20" t="str">
        <x:v>standalone work</x:v>
      </x:c>
      <x:c r="L57" s="20" t="str">
        <x:v>provisional German-original: DNB metadata</x:v>
      </x:c>
      <x:c r="M57" s="20" t="str"/>
      <x:c r="N57" s="33" t="str">
        <x:v>AUTO_KEEP_PROVISIONAL</x:v>
      </x:c>
      <x:c r="O57" s="20" t="str"/>
      <x:c r="P57" s="20" t="str">
        <x:v>nasrin-siege-996d3a4a28</x:v>
      </x:c>
      <x:c r="Q57" s="20" t="str">
        <x:v>139115178X</x:v>
      </x:c>
      <x:c r="R57" s="20" t="str">
        <x:v>K Kinder- und Jugendliteratur</x:v>
      </x:c>
      <x:c r="S57" s="20" t="str"/>
      <x:c r="T57" s="20" t="str"/>
      <x:c r="U57" s="20" t="str"/>
      <x:c r="V57" s="25" t="n">
        <x:v>46287.72917824074</x:v>
      </x:c>
    </x:row>
    <x:row r="58" ht="52" customHeight="1">
      <x:c r="A58" s="20" t="str">
        <x:v>work-702236918277</x:v>
      </x:c>
      <x:c r="B58" s="20" t="str">
        <x:v>Nassir Djafari</x:v>
      </x:c>
      <x:c r="C58" s="20" t="str">
        <x:v>Der Großcousin</x:v>
      </x:c>
      <x:c r="D58" s="20" t="str">
        <x:v>Der Großcousin : Roman</x:v>
      </x:c>
      <x:c r="E58" s="20" t="n">
        <x:v>2024</x:v>
      </x:c>
      <x:c r="F58" s="20" t="n">
        <x:v>2024</x:v>
      </x:c>
      <x:c r="G58" s="20" t="n">
        <x:v>1</x:v>
      </x:c>
      <x:c r="H58" s="20" t="n">
        <x:v>1</x:v>
      </x:c>
      <x:c r="I58" s="20" t="n">
        <x:v>0</x:v>
      </x:c>
      <x:c r="J58" s="20" t="n">
        <x:v>0</x:v>
      </x:c>
      <x:c r="K58" s="20" t="str">
        <x:v>standalone work</x:v>
      </x:c>
      <x:c r="L58" s="20" t="str">
        <x:v>provisional German-original: DNB metadata</x:v>
      </x:c>
      <x:c r="M58" s="20" t="str"/>
      <x:c r="N58" s="33" t="str">
        <x:v>AUTO_KEEP_PROVISIONAL</x:v>
      </x:c>
      <x:c r="O58" s="20" t="str"/>
      <x:c r="P58" s="20" t="str">
        <x:v>nassir-djafari-01e782b4a1</x:v>
      </x:c>
      <x:c r="Q58" s="20" t="str">
        <x:v>1322567840</x:v>
      </x:c>
      <x:c r="R58" s="20" t="str">
        <x:v>830 Deutsche Literatur | B Belletristik</x:v>
      </x:c>
      <x:c r="S58" s="20" t="str">
        <x:v>1. Auflage</x:v>
      </x:c>
      <x:c r="T58" s="20" t="str"/>
      <x:c r="U58" s="20" t="str"/>
      <x:c r="V58" s="25" t="n">
        <x:v>46287.72917824074</x:v>
      </x:c>
    </x:row>
    <x:row r="59" ht="52" customHeight="1">
      <x:c r="A59" s="20" t="str">
        <x:v>work-011d68e8cf7f</x:v>
      </x:c>
      <x:c r="B59" s="20" t="str">
        <x:v>Nassir Djafari</x:v>
      </x:c>
      <x:c r="C59" s="20" t="str">
        <x:v>Eine Woche, ein Leben</x:v>
      </x:c>
      <x:c r="D59" s="20" t="str">
        <x:v>Eine Woche, ein Leben : Roman</x:v>
      </x:c>
      <x:c r="E59" s="20" t="n">
        <x:v>2020</x:v>
      </x:c>
      <x:c r="F59" s="20" t="n">
        <x:v>2021</x:v>
      </x:c>
      <x:c r="G59" s="20" t="n">
        <x:v>2</x:v>
      </x:c>
      <x:c r="H59" s="20" t="n">
        <x:v>2</x:v>
      </x:c>
      <x:c r="I59" s="20" t="n">
        <x:v>0</x:v>
      </x:c>
      <x:c r="J59" s="20" t="n">
        <x:v>0</x:v>
      </x:c>
      <x:c r="K59" s="20" t="str">
        <x:v>standalone work</x:v>
      </x:c>
      <x:c r="L59" s="20" t="str">
        <x:v>provisional German-original: DNB metadata</x:v>
      </x:c>
      <x:c r="M59" s="20" t="str"/>
      <x:c r="N59" s="33" t="str">
        <x:v>AUTO_KEEP_PROVISIONAL</x:v>
      </x:c>
      <x:c r="O59" s="20" t="str"/>
      <x:c r="P59" s="20" t="str">
        <x:v>nassir-djafari-646239da16</x:v>
      </x:c>
      <x:c r="Q59" s="20" t="str">
        <x:v>1203394721 | 1239384270</x:v>
      </x:c>
      <x:c r="R59" s="20" t="str">
        <x:v>830 Deutsche Literatur | B Belletristik</x:v>
      </x:c>
      <x:c r="S59" s="20" t="str">
        <x:v>1. Auflage | 2. Auflage TB</x:v>
      </x:c>
      <x:c r="T59" s="20" t="str"/>
      <x:c r="U59" s="20" t="str"/>
      <x:c r="V59" s="25" t="n">
        <x:v>46287.72917824074</x:v>
      </x:c>
    </x:row>
    <x:row r="60" ht="52" customHeight="1">
      <x:c r="A60" s="20" t="str">
        <x:v>work-24f62969d73a</x:v>
      </x:c>
      <x:c r="B60" s="20" t="str">
        <x:v>Nassir Djafari</x:v>
      </x:c>
      <x:c r="C60" s="20" t="str">
        <x:v>Mahtab</x:v>
      </x:c>
      <x:c r="D60" s="20" t="str">
        <x:v>Mahtab : Roman</x:v>
      </x:c>
      <x:c r="E60" s="20" t="n">
        <x:v>2022</x:v>
      </x:c>
      <x:c r="F60" s="20" t="n">
        <x:v>2022</x:v>
      </x:c>
      <x:c r="G60" s="20" t="n">
        <x:v>1</x:v>
      </x:c>
      <x:c r="H60" s="20" t="n">
        <x:v>1</x:v>
      </x:c>
      <x:c r="I60" s="20" t="n">
        <x:v>0</x:v>
      </x:c>
      <x:c r="J60" s="20" t="n">
        <x:v>0</x:v>
      </x:c>
      <x:c r="K60" s="20" t="str">
        <x:v>standalone work</x:v>
      </x:c>
      <x:c r="L60" s="20" t="str">
        <x:v>provisional German-original: DNB metadata</x:v>
      </x:c>
      <x:c r="M60" s="20" t="str"/>
      <x:c r="N60" s="33" t="str">
        <x:v>AUTO_KEEP_PROVISIONAL</x:v>
      </x:c>
      <x:c r="O60" s="20" t="str"/>
      <x:c r="P60" s="20" t="str">
        <x:v>nassir-djafari-abc18da381</x:v>
      </x:c>
      <x:c r="Q60" s="20" t="str">
        <x:v>1255041722</x:v>
      </x:c>
      <x:c r="R60" s="20" t="str">
        <x:v>830 Deutsche Literatur | B Belletristik</x:v>
      </x:c>
      <x:c r="S60" s="20" t="str">
        <x:v>2. Auflage</x:v>
      </x:c>
      <x:c r="T60" s="20" t="str"/>
      <x:c r="U60" s="20" t="str"/>
      <x:c r="V60" s="25" t="n">
        <x:v>46287.72917824074</x:v>
      </x:c>
    </x:row>
    <x:row r="61" ht="52" customHeight="1">
      <x:c r="A61" s="20" t="str">
        <x:v>work-73f60b3d5ef2</x:v>
      </x:c>
      <x:c r="B61" s="20" t="str">
        <x:v>Nassir Djafari</x:v>
      </x:c>
      <x:c r="C61" s="20" t="str">
        <x:v>Tausend Fenster</x:v>
      </x:c>
      <x:c r="D61" s="20" t="str">
        <x:v>Tausend Fenster : Roman</x:v>
      </x:c>
      <x:c r="E61" s="20" t="n">
        <x:v>2026</x:v>
      </x:c>
      <x:c r="F61" s="20" t="n">
        <x:v>2026</x:v>
      </x:c>
      <x:c r="G61" s="20" t="n">
        <x:v>1</x:v>
      </x:c>
      <x:c r="H61" s="20" t="n">
        <x:v>1</x:v>
      </x:c>
      <x:c r="I61" s="20" t="n">
        <x:v>0</x:v>
      </x:c>
      <x:c r="J61" s="20" t="n">
        <x:v>0</x:v>
      </x:c>
      <x:c r="K61" s="20" t="str">
        <x:v>standalone work</x:v>
      </x:c>
      <x:c r="L61" s="20" t="str">
        <x:v>provisional German-original: DNB metadata</x:v>
      </x:c>
      <x:c r="M61" s="20" t="str"/>
      <x:c r="N61" s="33" t="str">
        <x:v>AUTO_KEEP_PROVISIONAL</x:v>
      </x:c>
      <x:c r="O61" s="20" t="str"/>
      <x:c r="P61" s="20" t="str">
        <x:v>nassir-djafari-5cd01a78bd</x:v>
      </x:c>
      <x:c r="Q61" s="20" t="str">
        <x:v>1403337357</x:v>
      </x:c>
      <x:c r="R61" s="20" t="str">
        <x:v>830 Deutsche Literatur | B Belletristik</x:v>
      </x:c>
      <x:c r="S61" s="20" t="str">
        <x:v>1. Auflage</x:v>
      </x:c>
      <x:c r="T61" s="20" t="str"/>
      <x:c r="U61" s="20" t="str"/>
      <x:c r="V61" s="25" t="n">
        <x:v>46287.72917824074</x:v>
      </x:c>
    </x:row>
    <x:row r="62" ht="52" customHeight="1">
      <x:c r="A62" s="20" t="str">
        <x:v>work-40980d9557f7</x:v>
      </x:c>
      <x:c r="B62" s="20" t="str">
        <x:v>Nava Ebrahimi</x:v>
      </x:c>
      <x:c r="C62" s="20" t="str">
        <x:v>Das Paradies meines Nachbarn</x:v>
      </x:c>
      <x:c r="D62" s="20" t="str">
        <x:v>Das Paradies meines Nachbarn : Roman</x:v>
      </x:c>
      <x:c r="E62" s="20" t="n">
        <x:v>2020</x:v>
      </x:c>
      <x:c r="F62" s="20" t="n">
        <x:v>2023</x:v>
      </x:c>
      <x:c r="G62" s="20" t="n">
        <x:v>3</x:v>
      </x:c>
      <x:c r="H62" s="20" t="n">
        <x:v>2</x:v>
      </x:c>
      <x:c r="I62" s="20" t="n">
        <x:v>1</x:v>
      </x:c>
      <x:c r="J62" s="20" t="n">
        <x:v>0</x:v>
      </x:c>
      <x:c r="K62" s="20" t="str">
        <x:v>standalone work</x:v>
      </x:c>
      <x:c r="L62" s="20" t="str">
        <x:v>verified German-original</x:v>
      </x:c>
      <x:c r="M62" s="20" t="str">
        <x:v>ORF biography</x:v>
      </x:c>
      <x:c r="N62" s="33" t="str">
        <x:v>AUTO_KEEP_PROVISIONAL</x:v>
      </x:c>
      <x:c r="O62" s="20" t="str"/>
      <x:c r="P62" s="20" t="str">
        <x:v>nava-ebrahimi-e41adeb79e</x:v>
      </x:c>
      <x:c r="Q62" s="20" t="str">
        <x:v>1198617861 | 1205253084 | 125468977X</x:v>
      </x:c>
      <x:c r="R62" s="20" t="str">
        <x:v>830 Deutsche Literatur | B Belletristik</x:v>
      </x:c>
      <x:c r="S62" s="20" t="str">
        <x:v>1. Auflage, Originalausgabe | 1. Auflage, Taschenbuchausgabe</x:v>
      </x:c>
      <x:c r="T62" s="20" t="str"/>
      <x:c r="U62" s="20" t="str"/>
      <x:c r="V62" s="25" t="n">
        <x:v>46287.72917824074</x:v>
      </x:c>
    </x:row>
    <x:row r="63" ht="52" customHeight="1">
      <x:c r="A63" s="20" t="str">
        <x:v>work-eb1e5b76fe58</x:v>
      </x:c>
      <x:c r="B63" s="20" t="str">
        <x:v>Nava Ebrahimi</x:v>
      </x:c>
      <x:c r="C63" s="20" t="str">
        <x:v>Drei Tage im Mai</x:v>
      </x:c>
      <x:c r="D63" s="20" t="str">
        <x:v>Drei Tage im Mai : Klagenfurter Rede zur Literatur 2025</x:v>
      </x:c>
      <x:c r="E63" s="20" t="n">
        <x:v>2025</x:v>
      </x:c>
      <x:c r="F63" s="20" t="n">
        <x:v>2025</x:v>
      </x:c>
      <x:c r="G63" s="20" t="n">
        <x:v>1</x:v>
      </x:c>
      <x:c r="H63" s="20" t="n">
        <x:v>1</x:v>
      </x:c>
      <x:c r="I63" s="20" t="n">
        <x:v>0</x:v>
      </x:c>
      <x:c r="J63" s="20" t="n">
        <x:v>0</x:v>
      </x:c>
      <x:c r="K63" s="20" t="str">
        <x:v>standalone work</x:v>
      </x:c>
      <x:c r="L63" s="20" t="str">
        <x:v>provisional German-original: DNB metadata</x:v>
      </x:c>
      <x:c r="M63" s="20" t="str"/>
      <x:c r="N63" s="33" t="str">
        <x:v>AUTO_KEEP_PROVISIONAL</x:v>
      </x:c>
      <x:c r="O63" s="20" t="str"/>
      <x:c r="P63" s="20" t="str">
        <x:v>nava-ebrahimi-91583889b6</x:v>
      </x:c>
      <x:c r="Q63" s="20" t="str">
        <x:v>1368765122</x:v>
      </x:c>
      <x:c r="R63" s="20" t="str">
        <x:v>830 Deutsche Literatur</x:v>
      </x:c>
      <x:c r="S63" s="20" t="str">
        <x:v>1. Auflage</x:v>
      </x:c>
      <x:c r="T63" s="20" t="str"/>
      <x:c r="U63" s="20" t="str"/>
      <x:c r="V63" s="25" t="n">
        <x:v>46287.72917824074</x:v>
      </x:c>
    </x:row>
    <x:row r="64" ht="52" customHeight="1">
      <x:c r="A64" s="20" t="str">
        <x:v>work-8aed50e1004a</x:v>
      </x:c>
      <x:c r="B64" s="20" t="str">
        <x:v>Nava Ebrahimi</x:v>
      </x:c>
      <x:c r="C64" s="20" t="str">
        <x:v>Sechzehn Wörter</x:v>
      </x:c>
      <x:c r="D64" s="20" t="str">
        <x:v>Sechzehn Wörter : Roman</x:v>
      </x:c>
      <x:c r="E64" s="20" t="n">
        <x:v>2017</x:v>
      </x:c>
      <x:c r="F64" s="20" t="n">
        <x:v>2022</x:v>
      </x:c>
      <x:c r="G64" s="20" t="n">
        <x:v>4</x:v>
      </x:c>
      <x:c r="H64" s="20" t="n">
        <x:v>3</x:v>
      </x:c>
      <x:c r="I64" s="20" t="n">
        <x:v>1</x:v>
      </x:c>
      <x:c r="J64" s="20" t="n">
        <x:v>0</x:v>
      </x:c>
      <x:c r="K64" s="20" t="str">
        <x:v>standalone work</x:v>
      </x:c>
      <x:c r="L64" s="20" t="str">
        <x:v>verified German-original</x:v>
      </x:c>
      <x:c r="M64" s="20" t="str">
        <x:v>ORF biography</x:v>
      </x:c>
      <x:c r="N64" s="33" t="str">
        <x:v>AUTO_KEEP_PROVISIONAL</x:v>
      </x:c>
      <x:c r="O64" s="20" t="str"/>
      <x:c r="P64" s="20" t="str">
        <x:v>nava-ebrahimi-e41f95888d</x:v>
      </x:c>
      <x:c r="Q64" s="20" t="str">
        <x:v>1119738180 | 1128569493 | 1156227062 | 1258988402</x:v>
      </x:c>
      <x:c r="R64" s="20" t="str">
        <x:v>830 Deutsche Literatur | B Belletristik</x:v>
      </x:c>
      <x:c r="S64" s="20" t="str">
        <x:v>1. Auflage | 1. Auflage, genehmigte Taschenbuchausgabe | Sonderausgabe</x:v>
      </x:c>
      <x:c r="T64" s="20" t="str"/>
      <x:c r="U64" s="20" t="str"/>
      <x:c r="V64" s="25" t="n">
        <x:v>46287.72917824074</x:v>
      </x:c>
    </x:row>
    <x:row r="65" ht="52" customHeight="1">
      <x:c r="A65" s="20" t="str">
        <x:v>work-b4ceea95bec9</x:v>
      </x:c>
      <x:c r="B65" s="20" t="str">
        <x:v>Nava Ebrahimi</x:v>
      </x:c>
      <x:c r="C65" s="20" t="str">
        <x:v>Und Federn überall</x:v>
      </x:c>
      <x:c r="D65" s="20" t="str">
        <x:v>Und Federn überall : Roman | Und Federn überall : Roman - Nominiert für den Deutschen Buchpreis 2025</x:v>
      </x:c>
      <x:c r="E65" s="20" t="n">
        <x:v>2025</x:v>
      </x:c>
      <x:c r="F65" s="20" t="n">
        <x:v>2025</x:v>
      </x:c>
      <x:c r="G65" s="20" t="n">
        <x:v>2</x:v>
      </x:c>
      <x:c r="H65" s="20" t="n">
        <x:v>1</x:v>
      </x:c>
      <x:c r="I65" s="20" t="n">
        <x:v>1</x:v>
      </x:c>
      <x:c r="J65" s="20" t="n">
        <x:v>0</x:v>
      </x:c>
      <x:c r="K65" s="20" t="str">
        <x:v>standalone work</x:v>
      </x:c>
      <x:c r="L65" s="20" t="str">
        <x:v>provisional German-original: DNB metadata</x:v>
      </x:c>
      <x:c r="M65" s="20" t="str"/>
      <x:c r="N65" s="32" t="str">
        <x:v>REVIEW_REQUIRED</x:v>
      </x:c>
      <x:c r="O65" s="20" t="str">
        <x:v>multiple original title groups merged</x:v>
      </x:c>
      <x:c r="P65" s="20" t="str">
        <x:v>nava-ebrahimi-8551e60e56 | nava-ebrahimi-cb657c0f1c</x:v>
      </x:c>
      <x:c r="Q65" s="20" t="str">
        <x:v>1361913916 | 1374673633</x:v>
      </x:c>
      <x:c r="R65" s="20" t="str">
        <x:v>830 Deutsche Literatur | B Belletristik</x:v>
      </x:c>
      <x:c r="S65" s="20" t="str">
        <x:v>2. Auflage</x:v>
      </x:c>
      <x:c r="T65" s="20" t="str"/>
      <x:c r="U65" s="20" t="str"/>
      <x:c r="V65" s="25" t="n">
        <x:v>46287.72917824074</x:v>
      </x:c>
    </x:row>
    <x:row r="66" ht="52" customHeight="1">
      <x:c r="A66" s="20" t="str">
        <x:v>work-0e5a1b9376ba</x:v>
      </x:c>
      <x:c r="B66" s="20" t="str">
        <x:v>Nava Ebrahimi</x:v>
      </x:c>
      <x:c r="C66" s="20" t="str">
        <x:v>Wer ich geworden wäre, wenn alles ganz anders gekommen wäre</x:v>
      </x:c>
      <x:c r="D66" s="20" t="str">
        <x:v>Wer ich geworden wäre, wenn alles ganz anders gekommen wäre : Herkunft, Identität, Imagination</x:v>
      </x:c>
      <x:c r="E66" s="20" t="n">
        <x:v>2024</x:v>
      </x:c>
      <x:c r="F66" s="20" t="n">
        <x:v>2024</x:v>
      </x:c>
      <x:c r="G66" s="20" t="n">
        <x:v>1</x:v>
      </x:c>
      <x:c r="H66" s="20" t="n">
        <x:v>1</x:v>
      </x:c>
      <x:c r="I66" s="20" t="n">
        <x:v>0</x:v>
      </x:c>
      <x:c r="J66" s="20" t="n">
        <x:v>0</x:v>
      </x:c>
      <x:c r="K66" s="20" t="str">
        <x:v>standalone work</x:v>
      </x:c>
      <x:c r="L66" s="20" t="str">
        <x:v>provisional German-original: DNB metadata</x:v>
      </x:c>
      <x:c r="M66" s="20" t="str"/>
      <x:c r="N66" s="33" t="str">
        <x:v>AUTO_KEEP_PROVISIONAL</x:v>
      </x:c>
      <x:c r="O66" s="20" t="str"/>
      <x:c r="P66" s="20" t="str">
        <x:v>nava-ebrahimi-342fd17520</x:v>
      </x:c>
      <x:c r="Q66" s="20" t="str">
        <x:v>1310302111</x:v>
      </x:c>
      <x:c r="R66" s="20" t="str">
        <x:v>830 Deutsche Literatur</x:v>
      </x:c>
      <x:c r="S66" s="20" t="str"/>
      <x:c r="T66" s="20" t="str"/>
      <x:c r="U66" s="20" t="str"/>
      <x:c r="V66" s="25" t="n">
        <x:v>46287.72917824074</x:v>
      </x:c>
    </x:row>
    <x:row r="67" ht="52" customHeight="1">
      <x:c r="A67" s="20" t="str">
        <x:v>work-536183f83123</x:v>
      </x:c>
      <x:c r="B67" s="20" t="str">
        <x:v>Navid Kermani</x:v>
      </x:c>
      <x:c r="C67" s="20" t="str">
        <x:v>Album</x:v>
      </x:c>
      <x:c r="D67" s="20" t="str">
        <x:v>Album | Album : Das Buch der von Neil Young getöteten. Vierzig Leben. Du sollst. Kurzmitteilung</x:v>
      </x:c>
      <x:c r="E67" s="20" t="n">
        <x:v>2014</x:v>
      </x:c>
      <x:c r="F67" s="20" t="n">
        <x:v>2014</x:v>
      </x:c>
      <x:c r="G67" s="20" t="n">
        <x:v>2</x:v>
      </x:c>
      <x:c r="H67" s="20" t="n">
        <x:v>1</x:v>
      </x:c>
      <x:c r="I67" s="20" t="n">
        <x:v>1</x:v>
      </x:c>
      <x:c r="J67" s="20" t="n">
        <x:v>0</x:v>
      </x:c>
      <x:c r="K67" s="20" t="str">
        <x:v>collection</x:v>
      </x:c>
      <x:c r="L67" s="20" t="str">
        <x:v>provisional German-original: DNB metadata</x:v>
      </x:c>
      <x:c r="M67" s="20" t="str"/>
      <x:c r="N67" s="32" t="str">
        <x:v>REVIEW_REQUIRED</x:v>
      </x:c>
      <x:c r="O67" s="20" t="str">
        <x:v>possible collection containing component works | multiple original title groups merged</x:v>
      </x:c>
      <x:c r="P67" s="20" t="str">
        <x:v>navid-kermani-0f4c58988e | navid-kermani-536183f831</x:v>
      </x:c>
      <x:c r="Q67" s="20" t="str">
        <x:v>1051000807 | 1056858745</x:v>
      </x:c>
      <x:c r="R67" s="20" t="str">
        <x:v>890 Literatur in anderen Sprachen | B Belletristik</x:v>
      </x:c>
      <x:c r="S67" s="20" t="str"/>
      <x:c r="T67" s="20" t="str"/>
      <x:c r="U67" s="20" t="str"/>
      <x:c r="V67" s="25" t="n">
        <x:v>46287.72917824074</x:v>
      </x:c>
    </x:row>
    <x:row r="68" ht="52" customHeight="1">
      <x:c r="A68" s="20" t="str">
        <x:v>work-b0e720b3d64c</x:v>
      </x:c>
      <x:c r="B68" s="20" t="str">
        <x:v>Navid Kermani</x:v>
      </x:c>
      <x:c r="C68" s="20" t="str">
        <x:v>Ayda, Bär und Hase</x:v>
      </x:c>
      <x:c r="D68" s="20" t="str">
        <x:v>Ayda, Bär und Hase | [Ayda, Bär und Hase] ; Dietmat Bär liest Navid Kermani, Ayda, Bär und Hase : MP3-CD mit DAISY-Navigation</x:v>
      </x:c>
      <x:c r="E68" s="20" t="n">
        <x:v>2006</x:v>
      </x:c>
      <x:c r="F68" s="20" t="n">
        <x:v>2022</x:v>
      </x:c>
      <x:c r="G68" s="20" t="n">
        <x:v>8</x:v>
      </x:c>
      <x:c r="H68" s="20" t="n">
        <x:v>3</x:v>
      </x:c>
      <x:c r="I68" s="20" t="n">
        <x:v>3</x:v>
      </x:c>
      <x:c r="J68" s="20" t="n">
        <x:v>4</x:v>
      </x:c>
      <x:c r="K68" s="20" t="str">
        <x:v>standalone work</x:v>
      </x:c>
      <x:c r="L68" s="20" t="str">
        <x:v>provisional German-original: DNB metadata</x:v>
      </x:c>
      <x:c r="M68" s="20" t="str"/>
      <x:c r="N68" s="32" t="str">
        <x:v>REVIEW_REQUIRED</x:v>
      </x:c>
      <x:c r="O68" s="20" t="str">
        <x:v>multiple original title groups merged | split-year title variants</x:v>
      </x:c>
      <x:c r="P68" s="20" t="str">
        <x:v>navid-kermani-327ec7c459 | navid-kermani-bdd8a36101</x:v>
      </x:c>
      <x:c r="Q68" s="20" t="str">
        <x:v>1117481131 | 1117481603 | 1119466849 | 1122918283 | 115032869X | 1156669510 | 1264371802 | 977646696</x:v>
      </x:c>
      <x:c r="R68" s="20" t="str">
        <x:v>K Kinder- und Jugendliteratur</x:v>
      </x:c>
      <x:c r="S68" s="20" t="str">
        <x:v>Ungekürzte Lesung mit Musik</x:v>
      </x:c>
      <x:c r="T68" s="20" t="str"/>
      <x:c r="U68" s="20" t="str"/>
      <x:c r="V68" s="25" t="n">
        <x:v>46287.72917824074</x:v>
      </x:c>
    </x:row>
    <x:row r="69" ht="52" customHeight="1">
      <x:c r="A69" s="20" t="str">
        <x:v>work-4de89603bb7a</x:v>
      </x:c>
      <x:c r="B69" s="20" t="str">
        <x:v>Navid Kermani</x:v>
      </x:c>
      <x:c r="C69" s="20" t="str">
        <x:v>Das Alphabet bis S</x:v>
      </x:c>
      <x:c r="D69" s="20" t="str">
        <x:v>Das Alphabet bis S | Das Alphabet bis S : Roman</x:v>
      </x:c>
      <x:c r="E69" s="20" t="n">
        <x:v>2023</x:v>
      </x:c>
      <x:c r="F69" s="20" t="n">
        <x:v>2025</x:v>
      </x:c>
      <x:c r="G69" s="20" t="n">
        <x:v>5</x:v>
      </x:c>
      <x:c r="H69" s="20" t="n">
        <x:v>2</x:v>
      </x:c>
      <x:c r="I69" s="20" t="n">
        <x:v>2</x:v>
      </x:c>
      <x:c r="J69" s="20" t="n">
        <x:v>2</x:v>
      </x:c>
      <x:c r="K69" s="20" t="str">
        <x:v>standalone work</x:v>
      </x:c>
      <x:c r="L69" s="20" t="str">
        <x:v>provisional German-original: DNB metadata</x:v>
      </x:c>
      <x:c r="M69" s="20" t="str"/>
      <x:c r="N69" s="32" t="str">
        <x:v>REVIEW_REQUIRED</x:v>
      </x:c>
      <x:c r="O69" s="20" t="str">
        <x:v>MARC variant title | multiple original title groups merged</x:v>
      </x:c>
      <x:c r="P69" s="20" t="str">
        <x:v>navid-kermani-4de89603bb | navid-kermani-8d1bf6ee95</x:v>
      </x:c>
      <x:c r="Q69" s="20" t="str">
        <x:v>1284417336 | 1286428718 | 1297631552 | 1345216343 | 1369580312</x:v>
      </x:c>
      <x:c r="R69" s="20" t="str">
        <x:v>830 Deutsche Literatur | B Belletristik</x:v>
      </x:c>
      <x:c r="S69" s="20" t="str">
        <x:v>2. Auflage | Ungekürzte Lesung | 1. Auflage</x:v>
      </x:c>
      <x:c r="T69" s="20" t="str">
        <x:v>Eva Mattes liest navid Kermani, Das Alphabet bis S</x:v>
      </x:c>
      <x:c r="U69" s="20" t="str"/>
      <x:c r="V69" s="25" t="n">
        <x:v>46287.72917824074</x:v>
      </x:c>
    </x:row>
    <x:row r="70" ht="52" customHeight="1">
      <x:c r="A70" s="20" t="str">
        <x:v>work-f0734d7d4812</x:v>
      </x:c>
      <x:c r="B70" s="20" t="str">
        <x:v>Navid Kermani</x:v>
      </x:c>
      <x:c r="C70" s="20" t="str">
        <x:v>Das Buch der von Neil Young Getöteten</x:v>
      </x:c>
      <x:c r="D70" s="20" t="str">
        <x:v>Das Buch der von Neil Young Getöteten</x:v>
      </x:c>
      <x:c r="E70" s="20" t="n">
        <x:v>2002</x:v>
      </x:c>
      <x:c r="F70" s="20" t="n">
        <x:v>2013</x:v>
      </x:c>
      <x:c r="G70" s="20" t="n">
        <x:v>3</x:v>
      </x:c>
      <x:c r="H70" s="20" t="n">
        <x:v>3</x:v>
      </x:c>
      <x:c r="I70" s="20" t="n">
        <x:v>0</x:v>
      </x:c>
      <x:c r="J70" s="20" t="n">
        <x:v>0</x:v>
      </x:c>
      <x:c r="K70" s="20" t="str">
        <x:v>standalone work</x:v>
      </x:c>
      <x:c r="L70" s="20" t="str">
        <x:v>provisional German-original: DNB metadata</x:v>
      </x:c>
      <x:c r="M70" s="20" t="str"/>
      <x:c r="N70" s="33" t="str">
        <x:v>AUTO_KEEP_PROVISIONAL</x:v>
      </x:c>
      <x:c r="O70" s="20" t="str"/>
      <x:c r="P70" s="20" t="str">
        <x:v>navid-kermani-f256c8417c</x:v>
      </x:c>
      <x:c r="Q70" s="20" t="str">
        <x:v>1034226401 | 965193144 | 971284814</x:v>
      </x:c>
      <x:c r="R70" s="20" t="str">
        <x:v>830 Deutsche Literatur | B Belletristik | 59 Belletristik</x:v>
      </x:c>
      <x:c r="S70" s="20" t="str">
        <x:v>1. Aufl</x:v>
      </x:c>
      <x:c r="T70" s="20" t="str"/>
      <x:c r="U70" s="20" t="str"/>
      <x:c r="V70" s="25" t="n">
        <x:v>46287.72917824074</x:v>
      </x:c>
    </x:row>
    <x:row r="71" ht="52" customHeight="1">
      <x:c r="A71" s="20" t="str">
        <x:v>work-b2bd62b6bfaa</x:v>
      </x:c>
      <x:c r="B71" s="20" t="str">
        <x:v>Navid Kermani</x:v>
      </x:c>
      <x:c r="C71" s="20" t="str">
        <x:v>Dein Name</x:v>
      </x:c>
      <x:c r="D71" s="20" t="str">
        <x:v>Dein Name | Dein Name : Roman</x:v>
      </x:c>
      <x:c r="E71" s="20" t="n">
        <x:v>2011</x:v>
      </x:c>
      <x:c r="F71" s="20" t="n">
        <x:v>2015</x:v>
      </x:c>
      <x:c r="G71" s="20" t="n">
        <x:v>4</x:v>
      </x:c>
      <x:c r="H71" s="20" t="n">
        <x:v>3</x:v>
      </x:c>
      <x:c r="I71" s="20" t="n">
        <x:v>1</x:v>
      </x:c>
      <x:c r="J71" s="20" t="n">
        <x:v>0</x:v>
      </x:c>
      <x:c r="K71" s="20" t="str">
        <x:v>standalone work</x:v>
      </x:c>
      <x:c r="L71" s="20" t="str">
        <x:v>provisional German-original: DNB metadata</x:v>
      </x:c>
      <x:c r="M71" s="20" t="str"/>
      <x:c r="N71" s="32" t="str">
        <x:v>AUTO_KEEP_FLAGGED_FOR_SPOT_CHECK</x:v>
      </x:c>
      <x:c r="O71" s="20" t="str">
        <x:v>multiple original title groups merged</x:v>
      </x:c>
      <x:c r="P71" s="20" t="str">
        <x:v>navid-kermani-b2bd62b6bf | navid-kermani-c6a7a965a1</x:v>
      </x:c>
      <x:c r="Q71" s="20" t="str">
        <x:v>1011238136 | 102000987X | 1043990771 | 1061000885</x:v>
      </x:c>
      <x:c r="R71" s="20" t="str">
        <x:v>830 Deutsche Literatur | B Belletristik | 830 Deutsche Literatur | 290 Andere Religionen</x:v>
      </x:c>
      <x:c r="S71" s="20" t="str"/>
      <x:c r="T71" s="20" t="str"/>
      <x:c r="U71" s="20" t="str"/>
      <x:c r="V71" s="25" t="n">
        <x:v>46287.72917824074</x:v>
      </x:c>
    </x:row>
    <x:row r="72" ht="52" customHeight="1">
      <x:c r="A72" s="20" t="str">
        <x:v>work-b2954ea546ca</x:v>
      </x:c>
      <x:c r="B72" s="20" t="str">
        <x:v>Navid Kermani</x:v>
      </x:c>
      <x:c r="C72" s="20" t="str">
        <x:v>Den lieb ich, der Unmögliches begehrt</x:v>
      </x:c>
      <x:c r="D72" s="20" t="str">
        <x:v>"Den lieb ich, der Unmögliches begehrt" : Laudatio</x:v>
      </x:c>
      <x:c r="E72" s="20" t="n">
        <x:v>2016</x:v>
      </x:c>
      <x:c r="F72" s="20" t="n">
        <x:v>2016</x:v>
      </x:c>
      <x:c r="G72" s="20" t="n">
        <x:v>1</x:v>
      </x:c>
      <x:c r="H72" s="20" t="n">
        <x:v>1</x:v>
      </x:c>
      <x:c r="I72" s="20" t="n">
        <x:v>0</x:v>
      </x:c>
      <x:c r="J72" s="20" t="n">
        <x:v>0</x:v>
      </x:c>
      <x:c r="K72" s="20" t="str">
        <x:v>co-authored work</x:v>
      </x:c>
      <x:c r="L72" s="20" t="str">
        <x:v>provisional German-original: DNB metadata</x:v>
      </x:c>
      <x:c r="M72" s="20" t="str"/>
      <x:c r="N72" s="32" t="str">
        <x:v>REVIEW_REQUIRED</x:v>
      </x:c>
      <x:c r="O72" s="20" t="str">
        <x:v>multiple authors with Verfasser role</x:v>
      </x:c>
      <x:c r="P72" s="20" t="str">
        <x:v>navid-kermani-4a1b4d71d9</x:v>
      </x:c>
      <x:c r="Q72" s="20" t="str">
        <x:v>1114747963</x:v>
      </x:c>
      <x:c r="R72" s="20" t="str">
        <x:v>830 Deutsche Literatur</x:v>
      </x:c>
      <x:c r="S72" s="20" t="str">
        <x:v>[1. Auflage]</x:v>
      </x:c>
      <x:c r="T72" s="20" t="str"/>
      <x:c r="U72" s="20" t="str"/>
      <x:c r="V72" s="25" t="n">
        <x:v>46287.72917824074</x:v>
      </x:c>
    </x:row>
    <x:row r="73" ht="52" customHeight="1">
      <x:c r="A73" s="20" t="str">
        <x:v>work-91f2d0973fe7</x:v>
      </x:c>
      <x:c r="B73" s="20" t="str">
        <x:v>Navid Kermani</x:v>
      </x:c>
      <x:c r="C73" s="20" t="str">
        <x:v>Die Bibel. Das Projekt</x:v>
      </x:c>
      <x:c r="D73" s="20" t="str">
        <x:v>Die Bibel. Das Projekt | Die Bibel. Das Projekt : zeitgenössische Schriftsteller und Künstler erschaffen ein Kaleidoskop akustischer Formen : inszenierte Lesungen, Hörspiele, Collagen, musikalische Hörstücke u.v.m</x:v>
      </x:c>
      <x:c r="E73" s="20" t="n">
        <x:v>2016</x:v>
      </x:c>
      <x:c r="F73" s="20" t="n">
        <x:v>2018</x:v>
      </x:c>
      <x:c r="G73" s="20" t="n">
        <x:v>3</x:v>
      </x:c>
      <x:c r="H73" s="20" t="n">
        <x:v>0</x:v>
      </x:c>
      <x:c r="I73" s="20" t="n">
        <x:v>2</x:v>
      </x:c>
      <x:c r="J73" s="20" t="n">
        <x:v>3</x:v>
      </x:c>
      <x:c r="K73" s="20" t="str">
        <x:v>co-authored work</x:v>
      </x:c>
      <x:c r="L73" s="20" t="str">
        <x:v>provisional German-original: DNB metadata</x:v>
      </x:c>
      <x:c r="M73" s="20" t="str"/>
      <x:c r="N73" s="32" t="str">
        <x:v>REVIEW_REQUIRED</x:v>
      </x:c>
      <x:c r="O73" s="20" t="str">
        <x:v>multiple authors with Verfasser role | multiple original title groups merged</x:v>
      </x:c>
      <x:c r="P73" s="20" t="str">
        <x:v>navid-kermani-91f2d0973f | navid-kermani-fef8b38a74</x:v>
      </x:c>
      <x:c r="Q73" s="20" t="str">
        <x:v>1098327357 | 1113593733 | 114983868X</x:v>
      </x:c>
      <x:c r="R73" s="20" t="str">
        <x:v>800 Literatur, Rhetorik, Literaturwissenschaft | B Belletristik</x:v>
      </x:c>
      <x:c r="S73" s="20" t="str">
        <x:v>[Neue Ausgabe] | neue Ausgabe</x:v>
      </x:c>
      <x:c r="T73" s="20" t="str"/>
      <x:c r="U73" s="20" t="str"/>
      <x:c r="V73" s="25" t="n">
        <x:v>46287.72917824074</x:v>
      </x:c>
    </x:row>
    <x:row r="74" ht="52" customHeight="1">
      <x:c r="A74" s="20" t="str">
        <x:v>work-e4e5d43aedc5</x:v>
      </x:c>
      <x:c r="B74" s="20" t="str">
        <x:v>Navid Kermani</x:v>
      </x:c>
      <x:c r="C74" s="20" t="str">
        <x:v>Du sollst</x:v>
      </x:c>
      <x:c r="D74" s="20" t="str">
        <x:v>Du sollst</x:v>
      </x:c>
      <x:c r="E74" s="20" t="n">
        <x:v>2005</x:v>
      </x:c>
      <x:c r="F74" s="20" t="n">
        <x:v>2014</x:v>
      </x:c>
      <x:c r="G74" s="20" t="n">
        <x:v>3</x:v>
      </x:c>
      <x:c r="H74" s="20" t="n">
        <x:v>2</x:v>
      </x:c>
      <x:c r="I74" s="20" t="n">
        <x:v>1</x:v>
      </x:c>
      <x:c r="J74" s="20" t="n">
        <x:v>0</x:v>
      </x:c>
      <x:c r="K74" s="20" t="str">
        <x:v>standalone work</x:v>
      </x:c>
      <x:c r="L74" s="20" t="str">
        <x:v>provisional German-original: DNB metadata</x:v>
      </x:c>
      <x:c r="M74" s="20" t="str"/>
      <x:c r="N74" s="33" t="str">
        <x:v>AUTO_KEEP_PROVISIONAL</x:v>
      </x:c>
      <x:c r="O74" s="20" t="str"/>
      <x:c r="P74" s="20" t="str">
        <x:v>navid-kermani-e4e5d43aed</x:v>
      </x:c>
      <x:c r="Q74" s="20" t="str">
        <x:v>1014637937 | 1056859113 | 973193301</x:v>
      </x:c>
      <x:c r="R74" s="20" t="str">
        <x:v>830 Deutsche Literatur | B Belletristik</x:v>
      </x:c>
      <x:c r="S74" s="20" t="str">
        <x:v>1. Aufl</x:v>
      </x:c>
      <x:c r="T74" s="20" t="str"/>
      <x:c r="U74" s="20" t="str"/>
      <x:c r="V74" s="25" t="n">
        <x:v>46287.72917824074</x:v>
      </x:c>
    </x:row>
    <x:row r="75" ht="52" customHeight="1">
      <x:c r="A75" s="20" t="str">
        <x:v>work-13ec607c1167</x:v>
      </x:c>
      <x:c r="B75" s="20" t="str">
        <x:v>Navid Kermani</x:v>
      </x:c>
      <x:c r="C75" s="20" t="str">
        <x:v>Dynamit des Geistes</x:v>
      </x:c>
      <x:c r="D75" s="20" t="str">
        <x:v>Dynamit des Geistes : Martyrium, Islam und Nihilismus</x:v>
      </x:c>
      <x:c r="E75" s="20" t="n">
        <x:v>2002</x:v>
      </x:c>
      <x:c r="F75" s="20" t="n">
        <x:v>2002</x:v>
      </x:c>
      <x:c r="G75" s="20" t="n">
        <x:v>1</x:v>
      </x:c>
      <x:c r="H75" s="20" t="n">
        <x:v>1</x:v>
      </x:c>
      <x:c r="I75" s="20" t="n">
        <x:v>0</x:v>
      </x:c>
      <x:c r="J75" s="20" t="n">
        <x:v>0</x:v>
      </x:c>
      <x:c r="K75" s="20" t="str">
        <x:v>standalone work</x:v>
      </x:c>
      <x:c r="L75" s="20" t="str">
        <x:v>provisional German-original: DNB metadata</x:v>
      </x:c>
      <x:c r="M75" s="20" t="str"/>
      <x:c r="N75" s="33" t="str">
        <x:v>AUTO_KEEP_PROVISIONAL</x:v>
      </x:c>
      <x:c r="O75" s="20" t="str"/>
      <x:c r="P75" s="20" t="str">
        <x:v>navid-kermani-e1f7701c59</x:v>
      </x:c>
      <x:c r="Q75" s="20" t="str">
        <x:v>964361809</x:v>
      </x:c>
      <x:c r="R75" s="20" t="str">
        <x:v>59 Belletristik</x:v>
      </x:c>
      <x:c r="S75" s="20" t="str"/>
      <x:c r="T75" s="20" t="str"/>
      <x:c r="U75" s="20" t="str"/>
      <x:c r="V75" s="25" t="n">
        <x:v>46287.72917824074</x:v>
      </x:c>
    </x:row>
    <x:row r="76" ht="52" customHeight="1">
      <x:c r="A76" s="20" t="str">
        <x:v>work-0ca098cd130a</x:v>
      </x:c>
      <x:c r="B76" s="20" t="str">
        <x:v>Navid Kermani</x:v>
      </x:c>
      <x:c r="C76" s="20" t="str">
        <x:v>Große Liebe</x:v>
      </x:c>
      <x:c r="D76" s="20" t="str">
        <x:v>Große Liebe : Roman</x:v>
      </x:c>
      <x:c r="E76" s="20" t="n">
        <x:v>2014</x:v>
      </x:c>
      <x:c r="F76" s="20" t="n">
        <x:v>2016</x:v>
      </x:c>
      <x:c r="G76" s="20" t="n">
        <x:v>4</x:v>
      </x:c>
      <x:c r="H76" s="20" t="n">
        <x:v>3</x:v>
      </x:c>
      <x:c r="I76" s="20" t="n">
        <x:v>1</x:v>
      </x:c>
      <x:c r="J76" s="20" t="n">
        <x:v>0</x:v>
      </x:c>
      <x:c r="K76" s="20" t="str">
        <x:v>standalone work</x:v>
      </x:c>
      <x:c r="L76" s="20" t="str">
        <x:v>provisional German-original: DNB metadata</x:v>
      </x:c>
      <x:c r="M76" s="20" t="str"/>
      <x:c r="N76" s="33" t="str">
        <x:v>AUTO_KEEP_PROVISIONAL</x:v>
      </x:c>
      <x:c r="O76" s="20" t="str"/>
      <x:c r="P76" s="20" t="str">
        <x:v>navid-kermani-3495e82159</x:v>
      </x:c>
      <x:c r="Q76" s="20" t="str">
        <x:v>1045641251 | 1056855843 | 1058987097 | 1070566349</x:v>
      </x:c>
      <x:c r="R76" s="20" t="str">
        <x:v>830 Deutsche Literatur | B Belletristik</x:v>
      </x:c>
      <x:c r="S76" s="20" t="str"/>
      <x:c r="T76" s="20" t="str"/>
      <x:c r="U76" s="20" t="str"/>
      <x:c r="V76" s="25" t="n">
        <x:v>46287.72917824074</x:v>
      </x:c>
    </x:row>
    <x:row r="77" ht="52" customHeight="1">
      <x:c r="A77" s="20" t="str">
        <x:v>work-f2518fe255ad</x:v>
      </x:c>
      <x:c r="B77" s="20" t="str">
        <x:v>Navid Kermani</x:v>
      </x:c>
      <x:c r="C77" s="20" t="str">
        <x:v>Jeder Mensch eine Menschheit</x:v>
      </x:c>
      <x:c r="D77" s="20" t="str">
        <x:v>Jeder Mensch eine Menschheit : Dankrede zum Joseph-Breitbach-Preis für "Dein Name". Mit der Laudatio von Martin Mosebach</x:v>
      </x:c>
      <x:c r="E77" s="20" t="n">
        <x:v>2015</x:v>
      </x:c>
      <x:c r="F77" s="20" t="n">
        <x:v>2015</x:v>
      </x:c>
      <x:c r="G77" s="20" t="n">
        <x:v>1</x:v>
      </x:c>
      <x:c r="H77" s="20" t="n">
        <x:v>0</x:v>
      </x:c>
      <x:c r="I77" s="20" t="n">
        <x:v>1</x:v>
      </x:c>
      <x:c r="J77" s="20" t="n">
        <x:v>0</x:v>
      </x:c>
      <x:c r="K77" s="20" t="str">
        <x:v>co-authored work</x:v>
      </x:c>
      <x:c r="L77" s="20" t="str">
        <x:v>provisional German-original: DNB metadata</x:v>
      </x:c>
      <x:c r="M77" s="20" t="str"/>
      <x:c r="N77" s="32" t="str">
        <x:v>REVIEW_REQUIRED</x:v>
      </x:c>
      <x:c r="O77" s="20" t="str">
        <x:v>multiple authors with Verfasser role</x:v>
      </x:c>
      <x:c r="P77" s="20" t="str">
        <x:v>navid-kermani-233f06ab05</x:v>
      </x:c>
      <x:c r="Q77" s="20" t="str">
        <x:v>1077704763</x:v>
      </x:c>
      <x:c r="R77" s="20" t="str">
        <x:v>830 Deutsche Literatur</x:v>
      </x:c>
      <x:c r="S77" s="20" t="str"/>
      <x:c r="T77" s="20" t="str"/>
      <x:c r="U77" s="20" t="str"/>
      <x:c r="V77" s="25" t="n">
        <x:v>46287.72917824074</x:v>
      </x:c>
    </x:row>
    <x:row r="78" ht="52" customHeight="1">
      <x:c r="A78" s="20" t="str">
        <x:v>work-e32ba2867eca</x:v>
      </x:c>
      <x:c r="B78" s="20" t="str">
        <x:v>Navid Kermani</x:v>
      </x:c>
      <x:c r="C78" s="20" t="str">
        <x:v>Kurzmitteilung</x:v>
      </x:c>
      <x:c r="D78" s="20" t="str">
        <x:v>Kurzmitteilung | Kurzmitteilung : Roman</x:v>
      </x:c>
      <x:c r="E78" s="20" t="n">
        <x:v>2007</x:v>
      </x:c>
      <x:c r="F78" s="20" t="n">
        <x:v>2014</x:v>
      </x:c>
      <x:c r="G78" s="20" t="n">
        <x:v>2</x:v>
      </x:c>
      <x:c r="H78" s="20" t="n">
        <x:v>1</x:v>
      </x:c>
      <x:c r="I78" s="20" t="n">
        <x:v>1</x:v>
      </x:c>
      <x:c r="J78" s="20" t="n">
        <x:v>0</x:v>
      </x:c>
      <x:c r="K78" s="20" t="str">
        <x:v>standalone work</x:v>
      </x:c>
      <x:c r="L78" s="20" t="str">
        <x:v>provisional German-original: DNB metadata</x:v>
      </x:c>
      <x:c r="M78" s="20" t="str"/>
      <x:c r="N78" s="32" t="str">
        <x:v>AUTO_KEEP_FLAGGED_FOR_SPOT_CHECK</x:v>
      </x:c>
      <x:c r="O78" s="20" t="str">
        <x:v>multiple original title groups merged</x:v>
      </x:c>
      <x:c r="P78" s="20" t="str">
        <x:v>navid-kermani-9ea0d2b5c6 | navid-kermani-e32ba2867e</x:v>
      </x:c>
      <x:c r="Q78" s="20" t="str">
        <x:v>1056859156 | 982478631</x:v>
      </x:c>
      <x:c r="R78" s="20" t="str">
        <x:v>830 Deutsche Literatur | B Belletristik</x:v>
      </x:c>
      <x:c r="S78" s="20" t="str">
        <x:v>1. Aufl</x:v>
      </x:c>
      <x:c r="T78" s="20" t="str"/>
      <x:c r="U78" s="20" t="str"/>
      <x:c r="V78" s="25" t="n">
        <x:v>46287.72917824074</x:v>
      </x:c>
    </x:row>
    <x:row r="79" ht="52" customHeight="1">
      <x:c r="A79" s="20" t="str">
        <x:v>work-61ddac11a4d9</x:v>
      </x:c>
      <x:c r="B79" s="20" t="str">
        <x:v>Navid Kermani</x:v>
      </x:c>
      <x:c r="C79" s="20" t="str">
        <x:v>Sommer 24</x:v>
      </x:c>
      <x:c r="D79" s="20" t="str">
        <x:v>Sommer 24 : Roman</x:v>
      </x:c>
      <x:c r="E79" s="20" t="n">
        <x:v>2026</x:v>
      </x:c>
      <x:c r="F79" s="20" t="n">
        <x:v>2026</x:v>
      </x:c>
      <x:c r="G79" s="20" t="n">
        <x:v>2</x:v>
      </x:c>
      <x:c r="H79" s="20" t="n">
        <x:v>1</x:v>
      </x:c>
      <x:c r="I79" s="20" t="n">
        <x:v>1</x:v>
      </x:c>
      <x:c r="J79" s="20" t="n">
        <x:v>0</x:v>
      </x:c>
      <x:c r="K79" s="20" t="str">
        <x:v>standalone work</x:v>
      </x:c>
      <x:c r="L79" s="20" t="str">
        <x:v>provisional German-original: DNB metadata</x:v>
      </x:c>
      <x:c r="M79" s="20" t="str"/>
      <x:c r="N79" s="33" t="str">
        <x:v>AUTO_KEEP_PROVISIONAL</x:v>
      </x:c>
      <x:c r="O79" s="20" t="str"/>
      <x:c r="P79" s="20" t="str">
        <x:v>navid-kermani-d1f300a8fd</x:v>
      </x:c>
      <x:c r="Q79" s="20" t="str">
        <x:v>1378580206 | 1381691838</x:v>
      </x:c>
      <x:c r="R79" s="20" t="str">
        <x:v>830 Deutsche Literatur | B Belletristik</x:v>
      </x:c>
      <x:c r="S79" s="20" t="str">
        <x:v>1. Auflage</x:v>
      </x:c>
      <x:c r="T79" s="20" t="str"/>
      <x:c r="U79" s="20" t="str"/>
      <x:c r="V79" s="25" t="n">
        <x:v>46287.72917824074</x:v>
      </x:c>
    </x:row>
    <x:row r="80" ht="52" customHeight="1">
      <x:c r="A80" s="20" t="str">
        <x:v>work-77a301467bf8</x:v>
      </x:c>
      <x:c r="B80" s="20" t="str">
        <x:v>Navid Kermani</x:v>
      </x:c>
      <x:c r="C80" s="20" t="str">
        <x:v>Sozusagen Paris</x:v>
      </x:c>
      <x:c r="D80" s="20" t="str">
        <x:v>Sozusagen Paris : Roman | [Kermani] ; Christian Brückner liest Sozusagen Paris | [Kermani] ; Sozusagen Paris : Roman | [Sozusagen Paris] ; Christian Brückner liest Sozusagen Paris</x:v>
      </x:c>
      <x:c r="E80" s="20" t="n">
        <x:v>2016</x:v>
      </x:c>
      <x:c r="F80" s="20" t="n">
        <x:v>2018</x:v>
      </x:c>
      <x:c r="G80" s="20" t="n">
        <x:v>5</x:v>
      </x:c>
      <x:c r="H80" s="20" t="n">
        <x:v>2</x:v>
      </x:c>
      <x:c r="I80" s="20" t="n">
        <x:v>2</x:v>
      </x:c>
      <x:c r="J80" s="20" t="n">
        <x:v>2</x:v>
      </x:c>
      <x:c r="K80" s="20" t="str">
        <x:v>standalone work</x:v>
      </x:c>
      <x:c r="L80" s="20" t="str">
        <x:v>provisional German-original: DNB metadata</x:v>
      </x:c>
      <x:c r="M80" s="20" t="str"/>
      <x:c r="N80" s="32" t="str">
        <x:v>AUTO_KEEP_FLAGGED_FOR_SPOT_CHECK</x:v>
      </x:c>
      <x:c r="O80" s="20" t="str">
        <x:v>multiple original title groups merged</x:v>
      </x:c>
      <x:c r="P80" s="20" t="str">
        <x:v>navid-kermani-4e205f5a7d | navid-kermani-877406ef02 | navid-kermani-bba8cfbad8 | navid-kermani-dfd2e8b61f</x:v>
      </x:c>
      <x:c r="Q80" s="20" t="str">
        <x:v>1097285871 | 1098556119 | 1113986433 | 113088550X | 114815227X</x:v>
      </x:c>
      <x:c r="R80" s="20" t="str">
        <x:v>830 Deutsche Literatur | B Belletristik</x:v>
      </x:c>
      <x:c r="S80" s="20" t="str">
        <x:v>Ungekürzte Lesung</x:v>
      </x:c>
      <x:c r="T80" s="20" t="str"/>
      <x:c r="U80" s="20" t="str"/>
      <x:c r="V80" s="25" t="n">
        <x:v>46287.72917824074</x:v>
      </x:c>
    </x:row>
    <x:row r="81" ht="52" customHeight="1">
      <x:c r="A81" s="20" t="str">
        <x:v>work-0a12cdb4c7dc</x:v>
      </x:c>
      <x:c r="B81" s="20" t="str">
        <x:v>Navid Kermani</x:v>
      </x:c>
      <x:c r="C81" s="20" t="str">
        <x:v>Toleranz</x:v>
      </x:c>
      <x:c r="D81" s="20" t="str">
        <x:v>Toleranz : Drei Lesarten zu Lessings »Märchen vom Ring« im Jahre 2003</x:v>
      </x:c>
      <x:c r="E81" s="20" t="n">
        <x:v>2016</x:v>
      </x:c>
      <x:c r="F81" s="20" t="n">
        <x:v>2016</x:v>
      </x:c>
      <x:c r="G81" s="20" t="n">
        <x:v>2</x:v>
      </x:c>
      <x:c r="H81" s="20" t="n">
        <x:v>0</x:v>
      </x:c>
      <x:c r="I81" s="20" t="n">
        <x:v>2</x:v>
      </x:c>
      <x:c r="J81" s="20" t="n">
        <x:v>0</x:v>
      </x:c>
      <x:c r="K81" s="20" t="str">
        <x:v>co-authored work</x:v>
      </x:c>
      <x:c r="L81" s="20" t="str">
        <x:v>provisional German-original: DNB metadata</x:v>
      </x:c>
      <x:c r="M81" s="20" t="str"/>
      <x:c r="N81" s="32" t="str">
        <x:v>REVIEW_REQUIRED</x:v>
      </x:c>
      <x:c r="O81" s="20" t="str">
        <x:v>multiple authors with Verfasser role</x:v>
      </x:c>
      <x:c r="P81" s="20" t="str">
        <x:v>navid-kermani-4166e0c28d</x:v>
      </x:c>
      <x:c r="Q81" s="20" t="str">
        <x:v>109959913X | 1099599164</x:v>
      </x:c>
      <x:c r="R81" s="20" t="str">
        <x:v>830 Deutsche Literatur</x:v>
      </x:c>
      <x:c r="S81" s="20" t="str"/>
      <x:c r="T81" s="20" t="str"/>
      <x:c r="U81" s="20" t="str"/>
      <x:c r="V81" s="25" t="n">
        <x:v>46287.72917824074</x:v>
      </x:c>
    </x:row>
    <x:row r="82" ht="52" customHeight="1">
      <x:c r="A82" s="20" t="str">
        <x:v>work-5dcd3120db79</x:v>
      </x:c>
      <x:c r="B82" s="20" t="str">
        <x:v>Navid Kermani</x:v>
      </x:c>
      <x:c r="C82" s="20" t="str">
        <x:v>Über den Zufall</x:v>
      </x:c>
      <x:c r="D82" s="20" t="str">
        <x:v>Über den Zufall : Jean Paul, Hölderlin und der Roman, den ich schreibe | Über den Zufall : Jean Paul, Hölderlin und der Roman, den ich schreibe ; Frankfurter Poetikvorlesungen</x:v>
      </x:c>
      <x:c r="E82" s="20" t="n">
        <x:v>2012</x:v>
      </x:c>
      <x:c r="F82" s="20" t="n">
        <x:v>2012</x:v>
      </x:c>
      <x:c r="G82" s="20" t="n">
        <x:v>2</x:v>
      </x:c>
      <x:c r="H82" s="20" t="n">
        <x:v>1</x:v>
      </x:c>
      <x:c r="I82" s="20" t="n">
        <x:v>1</x:v>
      </x:c>
      <x:c r="J82" s="20" t="n">
        <x:v>0</x:v>
      </x:c>
      <x:c r="K82" s="20" t="str">
        <x:v>standalone work</x:v>
      </x:c>
      <x:c r="L82" s="20" t="str">
        <x:v>provisional German-original: DNB metadata</x:v>
      </x:c>
      <x:c r="M82" s="20" t="str"/>
      <x:c r="N82" s="32" t="str">
        <x:v>AUTO_KEEP_FLAGGED_FOR_SPOT_CHECK</x:v>
      </x:c>
      <x:c r="O82" s="20" t="str">
        <x:v>multiple original title groups merged</x:v>
      </x:c>
      <x:c r="P82" s="20" t="str">
        <x:v>navid-kermani-51dd2f95d0 | navid-kermani-ca52c925d8</x:v>
      </x:c>
      <x:c r="Q82" s="20" t="str">
        <x:v>1022502271 | 1043982809</x:v>
      </x:c>
      <x:c r="R82" s="20" t="str">
        <x:v>830 Deutsche Literatur</x:v>
      </x:c>
      <x:c r="S82" s="20" t="str"/>
      <x:c r="T82" s="20" t="str"/>
      <x:c r="U82" s="20" t="str"/>
      <x:c r="V82" s="25" t="n">
        <x:v>46287.72917824074</x:v>
      </x:c>
    </x:row>
    <x:row r="83" ht="52" customHeight="1">
      <x:c r="A83" s="20" t="str">
        <x:v>work-5c8891aa972a</x:v>
      </x:c>
      <x:c r="B83" s="20" t="str">
        <x:v>Navid Kermani</x:v>
      </x:c>
      <x:c r="C83" s="20" t="str">
        <x:v>Vierzig Leben</x:v>
      </x:c>
      <x:c r="D83" s="20" t="str">
        <x:v>Vierzig Leben</x:v>
      </x:c>
      <x:c r="E83" s="20" t="n">
        <x:v>2004</x:v>
      </x:c>
      <x:c r="F83" s="20" t="n">
        <x:v>2018</x:v>
      </x:c>
      <x:c r="G83" s="20" t="n">
        <x:v>3</x:v>
      </x:c>
      <x:c r="H83" s="20" t="n">
        <x:v>2</x:v>
      </x:c>
      <x:c r="I83" s="20" t="n">
        <x:v>1</x:v>
      </x:c>
      <x:c r="J83" s="20" t="n">
        <x:v>0</x:v>
      </x:c>
      <x:c r="K83" s="20" t="str">
        <x:v>standalone work</x:v>
      </x:c>
      <x:c r="L83" s="20" t="str">
        <x:v>provisional German-original: DNB metadata</x:v>
      </x:c>
      <x:c r="M83" s="20" t="str"/>
      <x:c r="N83" s="33" t="str">
        <x:v>AUTO_KEEP_PROVISIONAL</x:v>
      </x:c>
      <x:c r="O83" s="20" t="str"/>
      <x:c r="P83" s="20" t="str">
        <x:v>navid-kermani-5c8891aa97</x:v>
      </x:c>
      <x:c r="Q83" s="20" t="str">
        <x:v>1056859075 | 1147699194 | 969102585</x:v>
      </x:c>
      <x:c r="R83" s="20" t="str">
        <x:v>830 Deutsche Literatur | B Belletristik</x:v>
      </x:c>
      <x:c r="S83" s="20" t="str">
        <x:v>1. Aufl</x:v>
      </x:c>
      <x:c r="T83" s="20" t="str"/>
      <x:c r="U83" s="20" t="str"/>
      <x:c r="V83" s="25" t="n">
        <x:v>46287.72917824074</x:v>
      </x:c>
    </x:row>
    <x:row r="84" ht="52" customHeight="1">
      <x:c r="A84" s="20" t="str">
        <x:v>work-c883d1418933</x:v>
      </x:c>
      <x:c r="B84" s="20" t="str">
        <x:v>Navid Kermani</x:v>
      </x:c>
      <x:c r="C84" s="20" t="str">
        <x:v>Zu Hause ist es am Schönsten, sagte die linke Hand und hielt sich an der Heizung fest</x:v>
      </x:c>
      <x:c r="D84" s="20" t="str">
        <x:v>Zu Hause ist es am Schönsten, sagte die linke Hand und hielt sich an der Heizung fest</x:v>
      </x:c>
      <x:c r="E84" s="20" t="n">
        <x:v>2025</x:v>
      </x:c>
      <x:c r="F84" s="20" t="n">
        <x:v>2025</x:v>
      </x:c>
      <x:c r="G84" s="20" t="n">
        <x:v>1</x:v>
      </x:c>
      <x:c r="H84" s="20" t="n">
        <x:v>1</x:v>
      </x:c>
      <x:c r="I84" s="20" t="n">
        <x:v>0</x:v>
      </x:c>
      <x:c r="J84" s="20" t="n">
        <x:v>0</x:v>
      </x:c>
      <x:c r="K84" s="20" t="str">
        <x:v>standalone work</x:v>
      </x:c>
      <x:c r="L84" s="20" t="str">
        <x:v>provisional German-original: DNB metadata</x:v>
      </x:c>
      <x:c r="M84" s="20" t="str"/>
      <x:c r="N84" s="33" t="str">
        <x:v>AUTO_KEEP_PROVISIONAL</x:v>
      </x:c>
      <x:c r="O84" s="20" t="str"/>
      <x:c r="P84" s="20" t="str">
        <x:v>navid-kermani-c701facdc2</x:v>
      </x:c>
      <x:c r="Q84" s="20" t="str">
        <x:v>134452236X</x:v>
      </x:c>
      <x:c r="R84" s="20" t="str">
        <x:v>830 Deutsche Literatur | B Belletristik</x:v>
      </x:c>
      <x:c r="S84" s="20" t="str">
        <x:v>1. Auflage</x:v>
      </x:c>
      <x:c r="T84" s="20" t="str"/>
      <x:c r="U84" s="20" t="str"/>
      <x:c r="V84" s="25" t="n">
        <x:v>46287.72917824074</x:v>
      </x:c>
    </x:row>
    <x:row r="85" ht="52" customHeight="1">
      <x:c r="A85" s="20" t="str">
        <x:v>work-e7ee351e6b59</x:v>
      </x:c>
      <x:c r="B85" s="20" t="str">
        <x:v>Navid Kermani</x:v>
      </x:c>
      <x:c r="C85" s="20" t="str">
        <x:v>Zwischen Koran und Kafka</x:v>
      </x:c>
      <x:c r="D85" s="20" t="str">
        <x:v>Zwischen Koran und Kafka : West-östliche Erkundungen | Zwischen Koran und Kafka : west-östliche Erkundungen</x:v>
      </x:c>
      <x:c r="E85" s="20" t="n">
        <x:v>2014</x:v>
      </x:c>
      <x:c r="F85" s="20" t="n">
        <x:v>2015</x:v>
      </x:c>
      <x:c r="G85" s="20" t="n">
        <x:v>3</x:v>
      </x:c>
      <x:c r="H85" s="20" t="n">
        <x:v>2</x:v>
      </x:c>
      <x:c r="I85" s="20" t="n">
        <x:v>1</x:v>
      </x:c>
      <x:c r="J85" s="20" t="n">
        <x:v>0</x:v>
      </x:c>
      <x:c r="K85" s="20" t="str">
        <x:v>standalone work</x:v>
      </x:c>
      <x:c r="L85" s="20" t="str">
        <x:v>provisional German-original: DNB metadata</x:v>
      </x:c>
      <x:c r="M85" s="20" t="str"/>
      <x:c r="N85" s="33" t="str">
        <x:v>AUTO_KEEP_PROVISIONAL</x:v>
      </x:c>
      <x:c r="O85" s="20" t="str"/>
      <x:c r="P85" s="20" t="str">
        <x:v>navid-kermani-1ada18d1c8</x:v>
      </x:c>
      <x:c r="Q85" s="20" t="str">
        <x:v>1049955633 | 1064494277 | 1127658069</x:v>
      </x:c>
      <x:c r="R85" s="20" t="str">
        <x:v>830 Deutsche Literatur</x:v>
      </x:c>
      <x:c r="S85" s="20" t="str">
        <x:v>1. Aufl | 5. Auflage</x:v>
      </x:c>
      <x:c r="T85" s="20" t="str"/>
      <x:c r="U85" s="20" t="str"/>
      <x:c r="V85" s="25" t="n">
        <x:v>46287.72917824074</x:v>
      </x:c>
    </x:row>
    <x:row r="86" ht="52" customHeight="1">
      <x:c r="A86" s="20" t="str">
        <x:v>work-77b5c6ef6478</x:v>
      </x:c>
      <x:c r="B86" s="20" t="str">
        <x:v>Noshin Shahrokhi</x:v>
      </x:c>
      <x:c r="C86" s="20" t="str">
        <x:v>Unerfüllte Träume einer Iranerin</x:v>
      </x:c>
      <x:c r="D86" s="20" t="str">
        <x:v>Unerfüllte Träume einer Iranerin : Roman</x:v>
      </x:c>
      <x:c r="E86" s="20" t="n">
        <x:v>2008</x:v>
      </x:c>
      <x:c r="F86" s="20" t="n">
        <x:v>2008</x:v>
      </x:c>
      <x:c r="G86" s="20" t="n">
        <x:v>1</x:v>
      </x:c>
      <x:c r="H86" s="20" t="n">
        <x:v>1</x:v>
      </x:c>
      <x:c r="I86" s="20" t="n">
        <x:v>0</x:v>
      </x:c>
      <x:c r="J86" s="20" t="n">
        <x:v>0</x:v>
      </x:c>
      <x:c r="K86" s="20" t="str">
        <x:v>standalone work</x:v>
      </x:c>
      <x:c r="L86" s="20" t="str">
        <x:v>provisional German-original: DNB metadata</x:v>
      </x:c>
      <x:c r="M86" s="20" t="str"/>
      <x:c r="N86" s="32" t="str">
        <x:v>REVIEW_REQUIRED</x:v>
      </x:c>
      <x:c r="O86" s="20" t="str">
        <x:v>thin evidence author</x:v>
      </x:c>
      <x:c r="P86" s="20" t="str">
        <x:v>noshin-shahrokhi-a29aa5dd6c</x:v>
      </x:c>
      <x:c r="Q86" s="20" t="str">
        <x:v>987294431</x:v>
      </x:c>
      <x:c r="R86" s="20" t="str">
        <x:v>890 Literatur in anderen Sprachen | B Belletristik</x:v>
      </x:c>
      <x:c r="S86" s="20" t="str">
        <x:v>1. Aufl</x:v>
      </x:c>
      <x:c r="T86" s="20" t="str"/>
      <x:c r="U86" s="20" t="str"/>
      <x:c r="V86" s="25" t="n">
        <x:v>46287.72917824074</x:v>
      </x:c>
    </x:row>
    <x:row r="87" ht="52" customHeight="1">
      <x:c r="A87" s="20" t="str">
        <x:v>work-9d6eb0945a77</x:v>
      </x:c>
      <x:c r="B87" s="20" t="str">
        <x:v>SAID</x:v>
      </x:c>
      <x:c r="C87" s="20" t="str">
        <x:v>Ar-Ar und Bobo</x:v>
      </x:c>
      <x:c r="D87" s="20" t="str">
        <x:v>Ar-Ar und Bobo</x:v>
      </x:c>
      <x:c r="E87" s="20" t="n">
        <x:v>2022</x:v>
      </x:c>
      <x:c r="F87" s="20" t="n">
        <x:v>2022</x:v>
      </x:c>
      <x:c r="G87" s="20" t="n">
        <x:v>1</x:v>
      </x:c>
      <x:c r="H87" s="20" t="n">
        <x:v>1</x:v>
      </x:c>
      <x:c r="I87" s="20" t="n">
        <x:v>0</x:v>
      </x:c>
      <x:c r="J87" s="20" t="n">
        <x:v>0</x:v>
      </x:c>
      <x:c r="K87" s="20" t="str">
        <x:v>standalone work</x:v>
      </x:c>
      <x:c r="L87" s="20" t="str">
        <x:v>provisional German-original: DNB metadata</x:v>
      </x:c>
      <x:c r="M87" s="20" t="str"/>
      <x:c r="N87" s="33" t="str">
        <x:v>AUTO_KEEP_PROVISIONAL</x:v>
      </x:c>
      <x:c r="O87" s="20" t="str"/>
      <x:c r="P87" s="20" t="str">
        <x:v>said-9d6eb0945a</x:v>
      </x:c>
      <x:c r="Q87" s="20" t="str">
        <x:v>124719454X</x:v>
      </x:c>
      <x:c r="R87" s="20" t="str">
        <x:v>830 Deutsche Literatur | B Belletristik</x:v>
      </x:c>
      <x:c r="S87" s="20" t="str">
        <x:v>Erste Auflage</x:v>
      </x:c>
      <x:c r="T87" s="20" t="str"/>
      <x:c r="U87" s="20" t="str"/>
      <x:c r="V87" s="25" t="n">
        <x:v>46287.72917824074</x:v>
      </x:c>
    </x:row>
    <x:row r="88" ht="52" customHeight="1">
      <x:c r="A88" s="20" t="str">
        <x:v>work-647a6c896d61</x:v>
      </x:c>
      <x:c r="B88" s="20" t="str">
        <x:v>SAID</x:v>
      </x:c>
      <x:c r="C88" s="20" t="str">
        <x:v>Außenhaut, Binnenträume</x:v>
      </x:c>
      <x:c r="D88" s="20" t="str">
        <x:v>Außenhaut, Binnenträume : Gedichte</x:v>
      </x:c>
      <x:c r="E88" s="20" t="n">
        <x:v>2002</x:v>
      </x:c>
      <x:c r="F88" s="20" t="n">
        <x:v>2002</x:v>
      </x:c>
      <x:c r="G88" s="20" t="n">
        <x:v>1</x:v>
      </x:c>
      <x:c r="H88" s="20" t="n">
        <x:v>1</x:v>
      </x:c>
      <x:c r="I88" s="20" t="n">
        <x:v>0</x:v>
      </x:c>
      <x:c r="J88" s="20" t="n">
        <x:v>0</x:v>
      </x:c>
      <x:c r="K88" s="20" t="str">
        <x:v>standalone work</x:v>
      </x:c>
      <x:c r="L88" s="20" t="str">
        <x:v>provisional German-original: DNB metadata</x:v>
      </x:c>
      <x:c r="M88" s="20" t="str"/>
      <x:c r="N88" s="33" t="str">
        <x:v>AUTO_KEEP_PROVISIONAL</x:v>
      </x:c>
      <x:c r="O88" s="20" t="str"/>
      <x:c r="P88" s="20" t="str">
        <x:v>said-bf5497e34f</x:v>
      </x:c>
      <x:c r="Q88" s="20" t="str">
        <x:v>964834383</x:v>
      </x:c>
      <x:c r="R88" s="20" t="str">
        <x:v>59 Belletristik</x:v>
      </x:c>
      <x:c r="S88" s="20" t="str"/>
      <x:c r="T88" s="20" t="str"/>
      <x:c r="U88" s="20" t="str"/>
      <x:c r="V88" s="25" t="n">
        <x:v>46287.72917824074</x:v>
      </x:c>
    </x:row>
    <x:row r="89" ht="52" customHeight="1">
      <x:c r="A89" s="20" t="str">
        <x:v>work-9003a281e5f0</x:v>
      </x:c>
      <x:c r="B89" s="20" t="str">
        <x:v>SAID</x:v>
      </x:c>
      <x:c r="C89" s="20" t="str">
        <x:v>Auf der Suche nach dem Licht</x:v>
      </x:c>
      <x:c r="D89" s="20" t="str">
        <x:v>Auf der Suche nach dem Licht</x:v>
      </x:c>
      <x:c r="E89" s="20" t="n">
        <x:v>2016</x:v>
      </x:c>
      <x:c r="F89" s="20" t="n">
        <x:v>2016</x:v>
      </x:c>
      <x:c r="G89" s="20" t="n">
        <x:v>1</x:v>
      </x:c>
      <x:c r="H89" s="20" t="n">
        <x:v>1</x:v>
      </x:c>
      <x:c r="I89" s="20" t="n">
        <x:v>0</x:v>
      </x:c>
      <x:c r="J89" s="20" t="n">
        <x:v>0</x:v>
      </x:c>
      <x:c r="K89" s="20" t="str">
        <x:v>standalone work</x:v>
      </x:c>
      <x:c r="L89" s="20" t="str">
        <x:v>provisional German-original: DNB metadata</x:v>
      </x:c>
      <x:c r="M89" s="20" t="str"/>
      <x:c r="N89" s="33" t="str">
        <x:v>AUTO_KEEP_PROVISIONAL</x:v>
      </x:c>
      <x:c r="O89" s="20" t="str"/>
      <x:c r="P89" s="20" t="str">
        <x:v>said-9003a281e5</x:v>
      </x:c>
      <x:c r="Q89" s="20" t="str">
        <x:v>1097224961</x:v>
      </x:c>
      <x:c r="R89" s="20" t="str">
        <x:v>830 Deutsche Literatur | B Belletristik</x:v>
      </x:c>
      <x:c r="S89" s="20" t="str">
        <x:v>[1. Auflage]</x:v>
      </x:c>
      <x:c r="T89" s="20" t="str"/>
      <x:c r="U89" s="20" t="str"/>
      <x:c r="V89" s="25" t="n">
        <x:v>46287.72917824074</x:v>
      </x:c>
    </x:row>
    <x:row r="90" ht="52" customHeight="1">
      <x:c r="A90" s="20" t="str">
        <x:v>work-f4790f9381c0</x:v>
      </x:c>
      <x:c r="B90" s="20" t="str">
        <x:v>SAID</x:v>
      </x:c>
      <x:c r="C90" s="20" t="str">
        <x:v>Dann schreie ich, bis Stille ist</x:v>
      </x:c>
      <x:c r="D90" s="20" t="str">
        <x:v>Dann schreie ich, bis Stille ist : Gedichte</x:v>
      </x:c>
      <x:c r="E90" s="20" t="n">
        <x:v>1990</x:v>
      </x:c>
      <x:c r="F90" s="20" t="n">
        <x:v>1990</x:v>
      </x:c>
      <x:c r="G90" s="20" t="n">
        <x:v>1</x:v>
      </x:c>
      <x:c r="H90" s="20" t="n">
        <x:v>1</x:v>
      </x:c>
      <x:c r="I90" s="20" t="n">
        <x:v>0</x:v>
      </x:c>
      <x:c r="J90" s="20" t="n">
        <x:v>0</x:v>
      </x:c>
      <x:c r="K90" s="20" t="str">
        <x:v>standalone work</x:v>
      </x:c>
      <x:c r="L90" s="20" t="str">
        <x:v>provisional German-original: DNB metadata</x:v>
      </x:c>
      <x:c r="M90" s="20" t="str"/>
      <x:c r="N90" s="33" t="str">
        <x:v>AUTO_KEEP_PROVISIONAL</x:v>
      </x:c>
      <x:c r="O90" s="20" t="str"/>
      <x:c r="P90" s="20" t="str">
        <x:v>said-642d996f85</x:v>
      </x:c>
      <x:c r="Q90" s="20" t="str">
        <x:v>901391700</x:v>
      </x:c>
      <x:c r="R90" s="20" t="str">
        <x:v>59 Belletristik</x:v>
      </x:c>
      <x:c r="S90" s="20" t="str"/>
      <x:c r="T90" s="20" t="str"/>
      <x:c r="U90" s="20" t="str"/>
      <x:c r="V90" s="25" t="n">
        <x:v>46287.72917824074</x:v>
      </x:c>
    </x:row>
    <x:row r="91" ht="52" customHeight="1">
      <x:c r="A91" s="20" t="str">
        <x:v>work-4ae7c8c31ce8</x:v>
      </x:c>
      <x:c r="B91" s="20" t="str">
        <x:v>SAID</x:v>
      </x:c>
      <x:c r="C91" s="20" t="str">
        <x:v>Das Niemandsland ist unseres</x:v>
      </x:c>
      <x:c r="D91" s="20" t="str">
        <x:v>Das Niemandsland ist unseres : West-östliche Betrachtungen | Das Niemandsland ist unseres : west-östliche Betrachtungen</x:v>
      </x:c>
      <x:c r="E91" s="20" t="n">
        <x:v>2010</x:v>
      </x:c>
      <x:c r="F91" s="20" t="n">
        <x:v>2010</x:v>
      </x:c>
      <x:c r="G91" s="20" t="n">
        <x:v>2</x:v>
      </x:c>
      <x:c r="H91" s="20" t="n">
        <x:v>1</x:v>
      </x:c>
      <x:c r="I91" s="20" t="n">
        <x:v>1</x:v>
      </x:c>
      <x:c r="J91" s="20" t="n">
        <x:v>0</x:v>
      </x:c>
      <x:c r="K91" s="20" t="str">
        <x:v>standalone work</x:v>
      </x:c>
      <x:c r="L91" s="20" t="str">
        <x:v>provisional German-original: DNB metadata</x:v>
      </x:c>
      <x:c r="M91" s="20" t="str"/>
      <x:c r="N91" s="33" t="str">
        <x:v>AUTO_KEEP_PROVISIONAL</x:v>
      </x:c>
      <x:c r="O91" s="20" t="str"/>
      <x:c r="P91" s="20" t="str">
        <x:v>said-f589ff49b5</x:v>
      </x:c>
      <x:c r="Q91" s="20" t="str">
        <x:v>1016638752 | 996088083</x:v>
      </x:c>
      <x:c r="R91" s="20" t="str">
        <x:v>830 Deutsche Literatur | B Belletristik</x:v>
      </x:c>
      <x:c r="S91" s="20" t="str"/>
      <x:c r="T91" s="20" t="str"/>
      <x:c r="U91" s="20" t="str"/>
      <x:c r="V91" s="25" t="n">
        <x:v>46287.72917824074</x:v>
      </x:c>
    </x:row>
    <x:row r="92" ht="52" customHeight="1">
      <x:c r="A92" s="20" t="str">
        <x:v>work-1c2979c0daf4</x:v>
      </x:c>
      <x:c r="B92" s="20" t="str">
        <x:v>SAID</x:v>
      </x:c>
      <x:c r="C92" s="20" t="str">
        <x:v>Das Rot lächelt, das Blau schweigt</x:v>
      </x:c>
      <x:c r="D92" s="20" t="str">
        <x:v>Das Rot lächelt, das Blau schweigt : Geschichten über Bilder</x:v>
      </x:c>
      <x:c r="E92" s="20" t="n">
        <x:v>2006</x:v>
      </x:c>
      <x:c r="F92" s="20" t="n">
        <x:v>2006</x:v>
      </x:c>
      <x:c r="G92" s="20" t="n">
        <x:v>1</x:v>
      </x:c>
      <x:c r="H92" s="20" t="n">
        <x:v>1</x:v>
      </x:c>
      <x:c r="I92" s="20" t="n">
        <x:v>0</x:v>
      </x:c>
      <x:c r="J92" s="20" t="n">
        <x:v>0</x:v>
      </x:c>
      <x:c r="K92" s="20" t="str">
        <x:v>standalone work</x:v>
      </x:c>
      <x:c r="L92" s="20" t="str">
        <x:v>provisional German-original: DNB metadata</x:v>
      </x:c>
      <x:c r="M92" s="20" t="str"/>
      <x:c r="N92" s="33" t="str">
        <x:v>AUTO_KEEP_PROVISIONAL</x:v>
      </x:c>
      <x:c r="O92" s="20" t="str"/>
      <x:c r="P92" s="20" t="str">
        <x:v>said-bab69a4998</x:v>
      </x:c>
      <x:c r="Q92" s="20" t="str">
        <x:v>979334586</x:v>
      </x:c>
      <x:c r="R92" s="20" t="str">
        <x:v>750 Malerei | 890 Literatur in anderen Sprachen | B Belletristik</x:v>
      </x:c>
      <x:c r="S92" s="20" t="str"/>
      <x:c r="T92" s="20" t="str"/>
      <x:c r="U92" s="20" t="str"/>
      <x:c r="V92" s="25" t="n">
        <x:v>46287.72917824074</x:v>
      </x:c>
    </x:row>
    <x:row r="93" ht="52" customHeight="1">
      <x:c r="A93" s="20" t="str">
        <x:v>work-a90f224413a6</x:v>
      </x:c>
      <x:c r="B93" s="20" t="str">
        <x:v>SAID</x:v>
      </x:c>
      <x:c r="C93" s="20" t="str">
        <x:v>Der Engel und die Taube</x:v>
      </x:c>
      <x:c r="D93" s="20" t="str">
        <x:v>Der Engel und die Taube : Erzählungen</x:v>
      </x:c>
      <x:c r="E93" s="20" t="n">
        <x:v>2008</x:v>
      </x:c>
      <x:c r="F93" s="20" t="n">
        <x:v>2008</x:v>
      </x:c>
      <x:c r="G93" s="20" t="n">
        <x:v>1</x:v>
      </x:c>
      <x:c r="H93" s="20" t="n">
        <x:v>1</x:v>
      </x:c>
      <x:c r="I93" s="20" t="n">
        <x:v>0</x:v>
      </x:c>
      <x:c r="J93" s="20" t="n">
        <x:v>0</x:v>
      </x:c>
      <x:c r="K93" s="20" t="str">
        <x:v>standalone work</x:v>
      </x:c>
      <x:c r="L93" s="20" t="str">
        <x:v>provisional German-original: DNB metadata</x:v>
      </x:c>
      <x:c r="M93" s="20" t="str"/>
      <x:c r="N93" s="33" t="str">
        <x:v>AUTO_KEEP_PROVISIONAL</x:v>
      </x:c>
      <x:c r="O93" s="20" t="str"/>
      <x:c r="P93" s="20" t="str">
        <x:v>said-df6ce62094</x:v>
      </x:c>
      <x:c r="Q93" s="20" t="str">
        <x:v>987935291</x:v>
      </x:c>
      <x:c r="R93" s="20" t="str">
        <x:v>890 Literatur in anderen Sprachen | B Belletristik</x:v>
      </x:c>
      <x:c r="S93" s="20" t="str"/>
      <x:c r="T93" s="20" t="str"/>
      <x:c r="U93" s="20" t="str"/>
      <x:c r="V93" s="25" t="n">
        <x:v>46287.72917824074</x:v>
      </x:c>
    </x:row>
    <x:row r="94" ht="52" customHeight="1">
      <x:c r="A94" s="20" t="str">
        <x:v>work-ff8776d2379d</x:v>
      </x:c>
      <x:c r="B94" s="20" t="str">
        <x:v>SAID</x:v>
      </x:c>
      <x:c r="C94" s="20" t="str">
        <x:v>Die Ballade vom Esel Trauermaul</x:v>
      </x:c>
      <x:c r="D94" s="20" t="str">
        <x:v>Die Ballade vom Esel Trauermaul</x:v>
      </x:c>
      <x:c r="E94" s="20" t="n">
        <x:v>1999</x:v>
      </x:c>
      <x:c r="F94" s="20" t="n">
        <x:v>1999</x:v>
      </x:c>
      <x:c r="G94" s="20" t="n">
        <x:v>1</x:v>
      </x:c>
      <x:c r="H94" s="20" t="n">
        <x:v>1</x:v>
      </x:c>
      <x:c r="I94" s="20" t="n">
        <x:v>0</x:v>
      </x:c>
      <x:c r="J94" s="20" t="n">
        <x:v>0</x:v>
      </x:c>
      <x:c r="K94" s="20" t="str">
        <x:v>standalone work</x:v>
      </x:c>
      <x:c r="L94" s="20" t="str">
        <x:v>provisional German-original: DNB metadata</x:v>
      </x:c>
      <x:c r="M94" s="20" t="str"/>
      <x:c r="N94" s="33" t="str">
        <x:v>AUTO_KEEP_PROVISIONAL</x:v>
      </x:c>
      <x:c r="O94" s="20" t="str"/>
      <x:c r="P94" s="20" t="str">
        <x:v>said-ff8776d237</x:v>
      </x:c>
      <x:c r="Q94" s="20" t="str">
        <x:v>958440573</x:v>
      </x:c>
      <x:c r="R94" s="20" t="str">
        <x:v>46 Bildende Kunst | 59 Belletristik | 02 Schrift, Buch, Bibliothek, Information und Dokumentation</x:v>
      </x:c>
      <x:c r="S94" s="20" t="str">
        <x:v>Einmalige Aufl</x:v>
      </x:c>
      <x:c r="T94" s="20" t="str"/>
      <x:c r="U94" s="20" t="str"/>
      <x:c r="V94" s="25" t="n">
        <x:v>46287.72917824074</x:v>
      </x:c>
    </x:row>
    <x:row r="95" ht="52" customHeight="1">
      <x:c r="A95" s="20" t="str">
        <x:v>work-551f1085d442</x:v>
      </x:c>
      <x:c r="B95" s="20" t="str">
        <x:v>SAID</x:v>
      </x:c>
      <x:c r="C95" s="20" t="str">
        <x:v>Dieses Tier, das es nicht gibt</x:v>
      </x:c>
      <x:c r="D95" s="20" t="str">
        <x:v>Dieses Tier, das es nicht gibt : ein Bestiarium</x:v>
      </x:c>
      <x:c r="E95" s="20" t="n">
        <x:v>1999</x:v>
      </x:c>
      <x:c r="F95" s="20" t="n">
        <x:v>1999</x:v>
      </x:c>
      <x:c r="G95" s="20" t="n">
        <x:v>1</x:v>
      </x:c>
      <x:c r="H95" s="20" t="n">
        <x:v>1</x:v>
      </x:c>
      <x:c r="I95" s="20" t="n">
        <x:v>0</x:v>
      </x:c>
      <x:c r="J95" s="20" t="n">
        <x:v>0</x:v>
      </x:c>
      <x:c r="K95" s="20" t="str">
        <x:v>standalone work</x:v>
      </x:c>
      <x:c r="L95" s="20" t="str">
        <x:v>provisional German-original: DNB metadata</x:v>
      </x:c>
      <x:c r="M95" s="20" t="str"/>
      <x:c r="N95" s="33" t="str">
        <x:v>AUTO_KEEP_PROVISIONAL</x:v>
      </x:c>
      <x:c r="O95" s="20" t="str"/>
      <x:c r="P95" s="20" t="str">
        <x:v>said-c9cdfe84bf</x:v>
      </x:c>
      <x:c r="Q95" s="20" t="str">
        <x:v>956679471</x:v>
      </x:c>
      <x:c r="R95" s="20" t="str">
        <x:v>59 Belletristik</x:v>
      </x:c>
      <x:c r="S95" s="20" t="str"/>
      <x:c r="T95" s="20" t="str"/>
      <x:c r="U95" s="20" t="str"/>
      <x:c r="V95" s="25" t="n">
        <x:v>46287.72917824074</x:v>
      </x:c>
    </x:row>
    <x:row r="96" ht="52" customHeight="1">
      <x:c r="A96" s="20" t="str">
        <x:v>work-e5a2875b4401</x:v>
      </x:c>
      <x:c r="B96" s="20" t="str">
        <x:v>SAID</x:v>
      </x:c>
      <x:c r="C96" s="20" t="str">
        <x:v>Ein vibrierendes Kind</x:v>
      </x:c>
      <x:c r="D96" s="20" t="str">
        <x:v>Ein vibrierendes Kind : Erinnerungen an eine persische Kindheit</x:v>
      </x:c>
      <x:c r="E96" s="20" t="n">
        <x:v>2022</x:v>
      </x:c>
      <x:c r="F96" s="20" t="n">
        <x:v>2022</x:v>
      </x:c>
      <x:c r="G96" s="20" t="n">
        <x:v>2</x:v>
      </x:c>
      <x:c r="H96" s="20" t="n">
        <x:v>1</x:v>
      </x:c>
      <x:c r="I96" s="20" t="n">
        <x:v>1</x:v>
      </x:c>
      <x:c r="J96" s="20" t="n">
        <x:v>0</x:v>
      </x:c>
      <x:c r="K96" s="20" t="str">
        <x:v>standalone work</x:v>
      </x:c>
      <x:c r="L96" s="20" t="str">
        <x:v>provisional German-original: DNB metadata</x:v>
      </x:c>
      <x:c r="M96" s="20" t="str"/>
      <x:c r="N96" s="33" t="str">
        <x:v>AUTO_KEEP_PROVISIONAL</x:v>
      </x:c>
      <x:c r="O96" s="20" t="str"/>
      <x:c r="P96" s="20" t="str">
        <x:v>said-7c9f6dcc2e</x:v>
      </x:c>
      <x:c r="Q96" s="20" t="str">
        <x:v>1244537594 | 1257788787</x:v>
      </x:c>
      <x:c r="R96" s="20" t="str">
        <x:v>830 Deutsche Literatur | B Belletristik</x:v>
      </x:c>
      <x:c r="S96" s="20" t="str">
        <x:v>1. Auflage</x:v>
      </x:c>
      <x:c r="T96" s="20" t="str"/>
      <x:c r="U96" s="20" t="str"/>
      <x:c r="V96" s="25" t="n">
        <x:v>46287.72917824074</x:v>
      </x:c>
    </x:row>
    <x:row r="97" ht="52" customHeight="1">
      <x:c r="A97" s="20" t="str">
        <x:v>work-66d1d5d75962</x:v>
      </x:c>
      <x:c r="B97" s="20" t="str">
        <x:v>SAID</x:v>
      </x:c>
      <x:c r="C97" s="20" t="str">
        <x:v>Flüstern gegen die Wölfe</x:v>
      </x:c>
      <x:c r="D97" s="20" t="str">
        <x:v>Flüstern gegen die Wölfe : Geschichten</x:v>
      </x:c>
      <x:c r="E97" s="20" t="n">
        <x:v>2021</x:v>
      </x:c>
      <x:c r="F97" s="20" t="n">
        <x:v>2021</x:v>
      </x:c>
      <x:c r="G97" s="20" t="n">
        <x:v>1</x:v>
      </x:c>
      <x:c r="H97" s="20" t="n">
        <x:v>1</x:v>
      </x:c>
      <x:c r="I97" s="20" t="n">
        <x:v>0</x:v>
      </x:c>
      <x:c r="J97" s="20" t="n">
        <x:v>0</x:v>
      </x:c>
      <x:c r="K97" s="20" t="str">
        <x:v>standalone work</x:v>
      </x:c>
      <x:c r="L97" s="20" t="str">
        <x:v>provisional German-original: DNB metadata</x:v>
      </x:c>
      <x:c r="M97" s="20" t="str"/>
      <x:c r="N97" s="33" t="str">
        <x:v>AUTO_KEEP_PROVISIONAL</x:v>
      </x:c>
      <x:c r="O97" s="20" t="str"/>
      <x:c r="P97" s="20" t="str">
        <x:v>said-af205475e8</x:v>
      </x:c>
      <x:c r="Q97" s="20" t="str">
        <x:v>1222691345</x:v>
      </x:c>
      <x:c r="R97" s="20" t="str">
        <x:v>830 Deutsche Literatur | B Belletristik</x:v>
      </x:c>
      <x:c r="S97" s="20" t="str"/>
      <x:c r="T97" s="20" t="str"/>
      <x:c r="U97" s="20" t="str"/>
      <x:c r="V97" s="25" t="n">
        <x:v>46287.72917824074</x:v>
      </x:c>
    </x:row>
    <x:row r="98" ht="52" customHeight="1">
      <x:c r="A98" s="20" t="str">
        <x:v>work-1f86492bf354</x:v>
      </x:c>
      <x:c r="B98" s="20" t="str">
        <x:v>SAID</x:v>
      </x:c>
      <x:c r="C98" s="20" t="str">
        <x:v>Ich, Jesus von Nazareth</x:v>
      </x:c>
      <x:c r="D98" s="20" t="str">
        <x:v>Ich, Jesus von Nazareth</x:v>
      </x:c>
      <x:c r="E98" s="20" t="n">
        <x:v>2018</x:v>
      </x:c>
      <x:c r="F98" s="20" t="n">
        <x:v>2018</x:v>
      </x:c>
      <x:c r="G98" s="20" t="n">
        <x:v>1</x:v>
      </x:c>
      <x:c r="H98" s="20" t="n">
        <x:v>1</x:v>
      </x:c>
      <x:c r="I98" s="20" t="n">
        <x:v>0</x:v>
      </x:c>
      <x:c r="J98" s="20" t="n">
        <x:v>0</x:v>
      </x:c>
      <x:c r="K98" s="20" t="str">
        <x:v>standalone work</x:v>
      </x:c>
      <x:c r="L98" s="20" t="str">
        <x:v>provisional German-original: DNB metadata</x:v>
      </x:c>
      <x:c r="M98" s="20" t="str"/>
      <x:c r="N98" s="33" t="str">
        <x:v>AUTO_KEEP_PROVISIONAL</x:v>
      </x:c>
      <x:c r="O98" s="20" t="str"/>
      <x:c r="P98" s="20" t="str">
        <x:v>said-1f86492bf3</x:v>
      </x:c>
      <x:c r="Q98" s="20" t="str">
        <x:v>1144214734</x:v>
      </x:c>
      <x:c r="R98" s="20" t="str">
        <x:v>830 Deutsche Literatur | B Belletristik</x:v>
      </x:c>
      <x:c r="S98" s="20" t="str"/>
      <x:c r="T98" s="20" t="str"/>
      <x:c r="U98" s="20" t="str"/>
      <x:c r="V98" s="25" t="n">
        <x:v>46287.72917824074</x:v>
      </x:c>
    </x:row>
    <x:row r="99" ht="52" customHeight="1">
      <x:c r="A99" s="20" t="str">
        <x:v>work-49f520f7f2a2</x:v>
      </x:c>
      <x:c r="B99" s="20" t="str">
        <x:v>SAID</x:v>
      </x:c>
      <x:c r="C99" s="20" t="str">
        <x:v>Ich und der Schah</x:v>
      </x:c>
      <x:c r="D99" s="20" t="str">
        <x:v>Ich und der Schah</x:v>
      </x:c>
      <x:c r="E99" s="20" t="n">
        <x:v>1987</x:v>
      </x:c>
      <x:c r="F99" s="20" t="n">
        <x:v>1987</x:v>
      </x:c>
      <x:c r="G99" s="20" t="n">
        <x:v>1</x:v>
      </x:c>
      <x:c r="H99" s="20" t="n">
        <x:v>1</x:v>
      </x:c>
      <x:c r="I99" s="20" t="n">
        <x:v>0</x:v>
      </x:c>
      <x:c r="J99" s="20" t="n">
        <x:v>0</x:v>
      </x:c>
      <x:c r="K99" s="20" t="str">
        <x:v>standalone work</x:v>
      </x:c>
      <x:c r="L99" s="20" t="str">
        <x:v>provisional German-original: DNB metadata</x:v>
      </x:c>
      <x:c r="M99" s="20" t="str"/>
      <x:c r="N99" s="33" t="str">
        <x:v>AUTO_KEEP_PROVISIONAL</x:v>
      </x:c>
      <x:c r="O99" s="20" t="str"/>
      <x:c r="P99" s="20" t="str">
        <x:v>said-49f520f7f2</x:v>
      </x:c>
      <x:c r="Q99" s="20" t="str">
        <x:v>942026713</x:v>
      </x:c>
      <x:c r="R99" s="20" t="str">
        <x:v>59 Belletristik</x:v>
      </x:c>
      <x:c r="S99" s="20" t="str">
        <x:v>1. Aufl</x:v>
      </x:c>
      <x:c r="T99" s="20" t="str"/>
      <x:c r="U99" s="20" t="str"/>
      <x:c r="V99" s="25" t="n">
        <x:v>46287.72917824074</x:v>
      </x:c>
    </x:row>
    <x:row r="100" ht="52" customHeight="1">
      <x:c r="A100" s="20" t="str">
        <x:v>work-0b4c47db6b64</x:v>
      </x:c>
      <x:c r="B100" s="20" t="str">
        <x:v>SAID</x:v>
      </x:c>
      <x:c r="C100" s="20" t="str">
        <x:v>Landschaften einer fernen Mutter</x:v>
      </x:c>
      <x:c r="D100" s="20" t="str">
        <x:v>Landschaften einer fernen Mutter</x:v>
      </x:c>
      <x:c r="E100" s="20" t="n">
        <x:v>2001</x:v>
      </x:c>
      <x:c r="F100" s="20" t="n">
        <x:v>2003</x:v>
      </x:c>
      <x:c r="G100" s="20" t="n">
        <x:v>2</x:v>
      </x:c>
      <x:c r="H100" s="20" t="n">
        <x:v>2</x:v>
      </x:c>
      <x:c r="I100" s="20" t="n">
        <x:v>0</x:v>
      </x:c>
      <x:c r="J100" s="20" t="n">
        <x:v>0</x:v>
      </x:c>
      <x:c r="K100" s="20" t="str">
        <x:v>standalone work</x:v>
      </x:c>
      <x:c r="L100" s="20" t="str">
        <x:v>provisional German-original: DNB metadata</x:v>
      </x:c>
      <x:c r="M100" s="20" t="str"/>
      <x:c r="N100" s="33" t="str">
        <x:v>AUTO_KEEP_PROVISIONAL</x:v>
      </x:c>
      <x:c r="O100" s="20" t="str"/>
      <x:c r="P100" s="20" t="str">
        <x:v>said-0b4c47db6b</x:v>
      </x:c>
      <x:c r="Q100" s="20" t="str">
        <x:v>960161201 | 966306147</x:v>
      </x:c>
      <x:c r="R100" s="20" t="str">
        <x:v>59 Belletristik</x:v>
      </x:c>
      <x:c r="S100" s="20" t="str">
        <x:v>Ungekürzte Ausg</x:v>
      </x:c>
      <x:c r="T100" s="20" t="str"/>
      <x:c r="U100" s="20" t="str"/>
      <x:c r="V100" s="25" t="n">
        <x:v>46287.72917824074</x:v>
      </x:c>
    </x:row>
    <x:row r="101" ht="52" customHeight="1">
      <x:c r="A101" s="20" t="str">
        <x:v>work-522206c51b14</x:v>
      </x:c>
      <x:c r="B101" s="20" t="str">
        <x:v>SAID</x:v>
      </x:c>
      <x:c r="C101" s="20" t="str">
        <x:v>Liebesgedichte</x:v>
      </x:c>
      <x:c r="D101" s="20" t="str">
        <x:v>Liebesgedichte</x:v>
      </x:c>
      <x:c r="E101" s="20" t="n">
        <x:v>1981</x:v>
      </x:c>
      <x:c r="F101" s="20" t="n">
        <x:v>1985</x:v>
      </x:c>
      <x:c r="G101" s="20" t="n">
        <x:v>2</x:v>
      </x:c>
      <x:c r="H101" s="20" t="n">
        <x:v>2</x:v>
      </x:c>
      <x:c r="I101" s="20" t="n">
        <x:v>0</x:v>
      </x:c>
      <x:c r="J101" s="20" t="n">
        <x:v>0</x:v>
      </x:c>
      <x:c r="K101" s="20" t="str">
        <x:v>standalone work</x:v>
      </x:c>
      <x:c r="L101" s="20" t="str">
        <x:v>provisional German-original: DNB metadata</x:v>
      </x:c>
      <x:c r="M101" s="20" t="str"/>
      <x:c r="N101" s="33" t="str">
        <x:v>AUTO_KEEP_PROVISIONAL</x:v>
      </x:c>
      <x:c r="O101" s="20" t="str"/>
      <x:c r="P101" s="20" t="str">
        <x:v>said-522206c51b</x:v>
      </x:c>
      <x:c r="Q101" s="20" t="str">
        <x:v>890511381 | 891384685</x:v>
      </x:c>
      <x:c r="R101" s="20" t="str">
        <x:v>59 Belletristik</x:v>
      </x:c>
      <x:c r="S101" s="20" t="str">
        <x:v>3., unveränd. Aufl</x:v>
      </x:c>
      <x:c r="T101" s="20" t="str"/>
      <x:c r="U101" s="20" t="str"/>
      <x:c r="V101" s="25" t="n">
        <x:v>46287.72917824074</x:v>
      </x:c>
    </x:row>
    <x:row r="102" ht="52" customHeight="1">
      <x:c r="A102" s="20" t="str">
        <x:v>work-6228997a1f61</x:v>
      </x:c>
      <x:c r="B102" s="20" t="str">
        <x:v>SAID</x:v>
      </x:c>
      <x:c r="C102" s="20" t="str">
        <x:v>Parlando mit Le Phung</x:v>
      </x:c>
      <x:c r="D102" s="20" t="str">
        <x:v>Parlando mit Le Phung</x:v>
      </x:c>
      <x:c r="E102" s="20" t="n">
        <x:v>2013</x:v>
      </x:c>
      <x:c r="F102" s="20" t="n">
        <x:v>2013</x:v>
      </x:c>
      <x:c r="G102" s="20" t="n">
        <x:v>1</x:v>
      </x:c>
      <x:c r="H102" s="20" t="n">
        <x:v>1</x:v>
      </x:c>
      <x:c r="I102" s="20" t="n">
        <x:v>0</x:v>
      </x:c>
      <x:c r="J102" s="20" t="n">
        <x:v>0</x:v>
      </x:c>
      <x:c r="K102" s="20" t="str">
        <x:v>standalone work</x:v>
      </x:c>
      <x:c r="L102" s="20" t="str">
        <x:v>provisional German-original: DNB metadata</x:v>
      </x:c>
      <x:c r="M102" s="20" t="str"/>
      <x:c r="N102" s="33" t="str">
        <x:v>AUTO_KEEP_PROVISIONAL</x:v>
      </x:c>
      <x:c r="O102" s="20" t="str"/>
      <x:c r="P102" s="20" t="str">
        <x:v>said-6228997a1f</x:v>
      </x:c>
      <x:c r="Q102" s="20" t="str">
        <x:v>1029097291</x:v>
      </x:c>
      <x:c r="R102" s="20" t="str">
        <x:v>830 Deutsche Literatur | B Belletristik</x:v>
      </x:c>
      <x:c r="S102" s="20" t="str">
        <x:v>1. Aufl</x:v>
      </x:c>
      <x:c r="T102" s="20" t="str"/>
      <x:c r="U102" s="20" t="str"/>
      <x:c r="V102" s="25" t="n">
        <x:v>46287.72917824074</x:v>
      </x:c>
    </x:row>
    <x:row r="103" ht="52" customHeight="1">
      <x:c r="A103" s="20" t="str">
        <x:v>work-78e1ec38dffe</x:v>
      </x:c>
      <x:c r="B103" s="20" t="str">
        <x:v>SAID</x:v>
      </x:c>
      <x:c r="C103" s="20" t="str">
        <x:v>Psalmen</x:v>
      </x:c>
      <x:c r="D103" s="20" t="str">
        <x:v>Psalmen</x:v>
      </x:c>
      <x:c r="E103" s="20" t="n">
        <x:v>2007</x:v>
      </x:c>
      <x:c r="F103" s="20" t="n">
        <x:v>2016</x:v>
      </x:c>
      <x:c r="G103" s="20" t="n">
        <x:v>2</x:v>
      </x:c>
      <x:c r="H103" s="20" t="n">
        <x:v>2</x:v>
      </x:c>
      <x:c r="I103" s="20" t="n">
        <x:v>0</x:v>
      </x:c>
      <x:c r="J103" s="20" t="n">
        <x:v>0</x:v>
      </x:c>
      <x:c r="K103" s="20" t="str">
        <x:v>standalone work</x:v>
      </x:c>
      <x:c r="L103" s="20" t="str">
        <x:v>provisional German-original: DNB metadata</x:v>
      </x:c>
      <x:c r="M103" s="20" t="str"/>
      <x:c r="N103" s="33" t="str">
        <x:v>AUTO_KEEP_PROVISIONAL</x:v>
      </x:c>
      <x:c r="O103" s="20" t="str"/>
      <x:c r="P103" s="20" t="str">
        <x:v>said-78e1ec38df</x:v>
      </x:c>
      <x:c r="Q103" s="20" t="str">
        <x:v>1081911212 | 982044739</x:v>
      </x:c>
      <x:c r="R103" s="20" t="str">
        <x:v>830 Deutsche Literatur | B Belletristik</x:v>
      </x:c>
      <x:c r="S103" s="20" t="str">
        <x:v>4. Auflage</x:v>
      </x:c>
      <x:c r="T103" s="20" t="str"/>
      <x:c r="U103" s="20" t="str"/>
      <x:c r="V103" s="25" t="n">
        <x:v>46287.72917824074</x:v>
      </x:c>
    </x:row>
    <x:row r="104" ht="52" customHeight="1">
      <x:c r="A104" s="20" t="str">
        <x:v>work-fcfbc7d7e329</x:v>
      </x:c>
      <x:c r="B104" s="20" t="str">
        <x:v>SAID</x:v>
      </x:c>
      <x:c r="C104" s="20" t="str">
        <x:v>Ruf zurück die Vögel</x:v>
      </x:c>
      <x:c r="D104" s="20" t="str">
        <x:v>Ruf zurück die Vögel : Neue Gedichte | Ruf zurück die Vögel : neue Gedichte</x:v>
      </x:c>
      <x:c r="E104" s="20" t="n">
        <x:v>2010</x:v>
      </x:c>
      <x:c r="F104" s="20" t="n">
        <x:v>2010</x:v>
      </x:c>
      <x:c r="G104" s="20" t="n">
        <x:v>2</x:v>
      </x:c>
      <x:c r="H104" s="20" t="n">
        <x:v>1</x:v>
      </x:c>
      <x:c r="I104" s="20" t="n">
        <x:v>1</x:v>
      </x:c>
      <x:c r="J104" s="20" t="n">
        <x:v>0</x:v>
      </x:c>
      <x:c r="K104" s="20" t="str">
        <x:v>standalone work</x:v>
      </x:c>
      <x:c r="L104" s="20" t="str">
        <x:v>provisional German-original: DNB metadata</x:v>
      </x:c>
      <x:c r="M104" s="20" t="str"/>
      <x:c r="N104" s="33" t="str">
        <x:v>AUTO_KEEP_PROVISIONAL</x:v>
      </x:c>
      <x:c r="O104" s="20" t="str"/>
      <x:c r="P104" s="20" t="str">
        <x:v>said-ec098d5e02</x:v>
      </x:c>
      <x:c r="Q104" s="20" t="str">
        <x:v>1049922514 | 996952519</x:v>
      </x:c>
      <x:c r="R104" s="20" t="str">
        <x:v>830 Deutsche Literatur | B Belletristik</x:v>
      </x:c>
      <x:c r="S104" s="20" t="str">
        <x:v>1. Aufl</x:v>
      </x:c>
      <x:c r="T104" s="20" t="str"/>
      <x:c r="U104" s="20" t="str"/>
      <x:c r="V104" s="25" t="n">
        <x:v>46287.72917824074</x:v>
      </x:c>
    </x:row>
    <x:row r="105" ht="52" customHeight="1">
      <x:c r="A105" s="20" t="str">
        <x:v>work-856745efb7bb</x:v>
      </x:c>
      <x:c r="B105" s="20" t="str">
        <x:v>SAID</x:v>
      </x:c>
      <x:c r="C105" s="20" t="str">
        <x:v>Sei Nacht zu mir</x:v>
      </x:c>
      <x:c r="D105" s="20" t="str">
        <x:v>Sei Nacht zu mir : Liebesgedichte</x:v>
      </x:c>
      <x:c r="E105" s="20" t="n">
        <x:v>1998</x:v>
      </x:c>
      <x:c r="F105" s="20" t="n">
        <x:v>2017</x:v>
      </x:c>
      <x:c r="G105" s="20" t="n">
        <x:v>2</x:v>
      </x:c>
      <x:c r="H105" s="20" t="n">
        <x:v>2</x:v>
      </x:c>
      <x:c r="I105" s="20" t="n">
        <x:v>0</x:v>
      </x:c>
      <x:c r="J105" s="20" t="n">
        <x:v>0</x:v>
      </x:c>
      <x:c r="K105" s="20" t="str">
        <x:v>standalone work</x:v>
      </x:c>
      <x:c r="L105" s="20" t="str">
        <x:v>provisional German-original: DNB metadata</x:v>
      </x:c>
      <x:c r="M105" s="20" t="str"/>
      <x:c r="N105" s="33" t="str">
        <x:v>AUTO_KEEP_PROVISIONAL</x:v>
      </x:c>
      <x:c r="O105" s="20" t="str"/>
      <x:c r="P105" s="20" t="str">
        <x:v>said-91596bcfb9</x:v>
      </x:c>
      <x:c r="Q105" s="20" t="str">
        <x:v>1139208705 | 953528723</x:v>
      </x:c>
      <x:c r="R105" s="20" t="str">
        <x:v>830 Deutsche Literatur | B Belletristik | 59 Belletristik</x:v>
      </x:c>
      <x:c r="S105" s="20" t="str">
        <x:v>4. Auflage</x:v>
      </x:c>
      <x:c r="T105" s="20" t="str"/>
      <x:c r="U105" s="20" t="str"/>
      <x:c r="V105" s="25" t="n">
        <x:v>46287.72917824074</x:v>
      </x:c>
    </x:row>
    <x:row r="106" ht="52" customHeight="1">
      <x:c r="A106" s="20" t="str">
        <x:v>work-9035a8b6c112</x:v>
      </x:c>
      <x:c r="B106" s="20" t="str">
        <x:v>SAID</x:v>
      </x:c>
      <x:c r="C106" s="20" t="str">
        <x:v>Selbstbildnis für eine ferne Mutter</x:v>
      </x:c>
      <x:c r="D106" s="20" t="str">
        <x:v>Selbstbildnis für eine ferne Mutter</x:v>
      </x:c>
      <x:c r="E106" s="20" t="n">
        <x:v>1992</x:v>
      </x:c>
      <x:c r="F106" s="20" t="n">
        <x:v>1992</x:v>
      </x:c>
      <x:c r="G106" s="20" t="n">
        <x:v>1</x:v>
      </x:c>
      <x:c r="H106" s="20" t="n">
        <x:v>1</x:v>
      </x:c>
      <x:c r="I106" s="20" t="n">
        <x:v>0</x:v>
      </x:c>
      <x:c r="J106" s="20" t="n">
        <x:v>0</x:v>
      </x:c>
      <x:c r="K106" s="20" t="str">
        <x:v>standalone work</x:v>
      </x:c>
      <x:c r="L106" s="20" t="str">
        <x:v>provisional German-original: DNB metadata</x:v>
      </x:c>
      <x:c r="M106" s="20" t="str"/>
      <x:c r="N106" s="33" t="str">
        <x:v>AUTO_KEEP_PROVISIONAL</x:v>
      </x:c>
      <x:c r="O106" s="20" t="str"/>
      <x:c r="P106" s="20" t="str">
        <x:v>said-deccee364e</x:v>
      </x:c>
      <x:c r="Q106" s="20" t="str">
        <x:v>948097302</x:v>
      </x:c>
      <x:c r="R106" s="20" t="str">
        <x:v>59 Belletristik</x:v>
      </x:c>
      <x:c r="S106" s="20" t="str">
        <x:v>1. Aufl., 1. - 3. Tsd</x:v>
      </x:c>
      <x:c r="T106" s="20" t="str"/>
      <x:c r="U106" s="20" t="str"/>
      <x:c r="V106" s="25" t="n">
        <x:v>46287.72917824074</x:v>
      </x:c>
    </x:row>
    <x:row r="107" ht="52" customHeight="1">
      <x:c r="A107" s="20" t="str">
        <x:v>work-53a2489a6213</x:v>
      </x:c>
      <x:c r="B107" s="20" t="str">
        <x:v>SAID</x:v>
      </x:c>
      <x:c r="C107" s="20" t="str">
        <x:v>September in Varna</x:v>
      </x:c>
      <x:c r="D107" s="20" t="str">
        <x:v>September in Varna</x:v>
      </x:c>
      <x:c r="E107" s="20" t="n">
        <x:v>2019</x:v>
      </x:c>
      <x:c r="F107" s="20" t="n">
        <x:v>2019</x:v>
      </x:c>
      <x:c r="G107" s="20" t="n">
        <x:v>1</x:v>
      </x:c>
      <x:c r="H107" s="20" t="n">
        <x:v>1</x:v>
      </x:c>
      <x:c r="I107" s="20" t="n">
        <x:v>0</x:v>
      </x:c>
      <x:c r="J107" s="20" t="n">
        <x:v>0</x:v>
      </x:c>
      <x:c r="K107" s="20" t="str">
        <x:v>standalone work</x:v>
      </x:c>
      <x:c r="L107" s="20" t="str">
        <x:v>provisional German-original: DNB metadata</x:v>
      </x:c>
      <x:c r="M107" s="20" t="str"/>
      <x:c r="N107" s="33" t="str">
        <x:v>AUTO_KEEP_PROVISIONAL</x:v>
      </x:c>
      <x:c r="O107" s="20" t="str"/>
      <x:c r="P107" s="20" t="str">
        <x:v>said-53a2489a62</x:v>
      </x:c>
      <x:c r="Q107" s="20" t="str">
        <x:v>117221509X</x:v>
      </x:c>
      <x:c r="R107" s="20" t="str">
        <x:v>830 Deutsche Literatur | B Belletristik</x:v>
      </x:c>
      <x:c r="S107" s="20" t="str"/>
      <x:c r="T107" s="20" t="str"/>
      <x:c r="U107" s="20" t="str"/>
      <x:c r="V107" s="25" t="n">
        <x:v>46287.72917824074</x:v>
      </x:c>
    </x:row>
    <x:row r="108" ht="52" customHeight="1">
      <x:c r="A108" s="20" t="str">
        <x:v>work-64f0947551ff</x:v>
      </x:c>
      <x:c r="B108" s="20" t="str">
        <x:v>SAID</x:v>
      </x:c>
      <x:c r="C108" s="20" t="str">
        <x:v>vom wort zum haus</x:v>
      </x:c>
      <x:c r="D108" s="20" t="str">
        <x:v>vom wort zum haus : gedichte</x:v>
      </x:c>
      <x:c r="E108" s="20" t="n">
        <x:v>2018</x:v>
      </x:c>
      <x:c r="F108" s="20" t="n">
        <x:v>2018</x:v>
      </x:c>
      <x:c r="G108" s="20" t="n">
        <x:v>1</x:v>
      </x:c>
      <x:c r="H108" s="20" t="n">
        <x:v>1</x:v>
      </x:c>
      <x:c r="I108" s="20" t="n">
        <x:v>0</x:v>
      </x:c>
      <x:c r="J108" s="20" t="n">
        <x:v>0</x:v>
      </x:c>
      <x:c r="K108" s="20" t="str">
        <x:v>standalone work</x:v>
      </x:c>
      <x:c r="L108" s="20" t="str">
        <x:v>provisional German-original: DNB metadata</x:v>
      </x:c>
      <x:c r="M108" s="20" t="str"/>
      <x:c r="N108" s="33" t="str">
        <x:v>AUTO_KEEP_PROVISIONAL</x:v>
      </x:c>
      <x:c r="O108" s="20" t="str"/>
      <x:c r="P108" s="20" t="str">
        <x:v>said-92f39dd1f3</x:v>
      </x:c>
      <x:c r="Q108" s="20" t="str">
        <x:v>1157104959</x:v>
      </x:c>
      <x:c r="R108" s="20" t="str">
        <x:v>830 Deutsche Literatur | B Belletristik</x:v>
      </x:c>
      <x:c r="S108" s="20" t="str">
        <x:v>[1. Auflage]</x:v>
      </x:c>
      <x:c r="T108" s="20" t="str"/>
      <x:c r="U108" s="20" t="str"/>
      <x:c r="V108" s="25" t="n">
        <x:v>46287.72917824074</x:v>
      </x:c>
    </x:row>
    <x:row r="109" ht="52" customHeight="1">
      <x:c r="A109" s="20" t="str">
        <x:v>work-fcfb38176dda</x:v>
      </x:c>
      <x:c r="B109" s="20" t="str">
        <x:v>SAID</x:v>
      </x:c>
      <x:c r="C109" s="20" t="str">
        <x:v>Wo ich sterbe ist meine Fremde</x:v>
      </x:c>
      <x:c r="D109" s="20" t="str">
        <x:v>Wo ich sterbe ist meine Fremde | Wo ich sterbe ist meine Fremde : Exil u. Liebe ; Gedichte u.e. Gespräch mit Gino Chiellino | Wo ich sterbe ist meine Fremde : Gedichte</x:v>
      </x:c>
      <x:c r="E109" s="20" t="n">
        <x:v>1983</x:v>
      </x:c>
      <x:c r="F109" s="20" t="n">
        <x:v>2000</x:v>
      </x:c>
      <x:c r="G109" s="20" t="n">
        <x:v>5</x:v>
      </x:c>
      <x:c r="H109" s="20" t="n">
        <x:v>5</x:v>
      </x:c>
      <x:c r="I109" s="20" t="n">
        <x:v>0</x:v>
      </x:c>
      <x:c r="J109" s="20" t="n">
        <x:v>0</x:v>
      </x:c>
      <x:c r="K109" s="20" t="str">
        <x:v>standalone work</x:v>
      </x:c>
      <x:c r="L109" s="20" t="str">
        <x:v>provisional German-original: DNB metadata</x:v>
      </x:c>
      <x:c r="M109" s="20" t="str"/>
      <x:c r="N109" s="32" t="str">
        <x:v>REVIEW_REQUIRED</x:v>
      </x:c>
      <x:c r="O109" s="20" t="str">
        <x:v>multiple original title groups merged | split-year title variants</x:v>
      </x:c>
      <x:c r="P109" s="20" t="str">
        <x:v>said-627aec6fea | said-8187241db9 | said-fcfb38176d</x:v>
      </x:c>
      <x:c r="Q109" s="20" t="str">
        <x:v>830939237 | 860126501 | 880322845 | 948097205 | 961015845</x:v>
      </x:c>
      <x:c r="R109" s="20" t="str">
        <x:v>59 Belletristik</x:v>
      </x:c>
      <x:c r="S109" s="20" t="str">
        <x:v>2. Aufl | 4. Aufl., 4. Tsd | 5. Aufl</x:v>
      </x:c>
      <x:c r="T109" s="20" t="str"/>
      <x:c r="U109" s="20" t="str"/>
      <x:c r="V109" s="25" t="n">
        <x:v>46287.72917824074</x:v>
      </x:c>
    </x:row>
    <x:row r="110" ht="52" customHeight="1">
      <x:c r="A110" s="20" t="str">
        <x:v>work-8949e33ac18b</x:v>
      </x:c>
      <x:c r="B110" s="20" t="str">
        <x:v>Shani Katayun</x:v>
      </x:c>
      <x:c r="C110" s="20" t="str">
        <x:v>Augen in Teheran</x:v>
      </x:c>
      <x:c r="D110" s="20" t="str">
        <x:v>Augen in Teheran : drei Schwestern zwischen Iran und Deutschland ; Roman</x:v>
      </x:c>
      <x:c r="E110" s="20" t="n">
        <x:v>2008</x:v>
      </x:c>
      <x:c r="F110" s="20" t="n">
        <x:v>2008</x:v>
      </x:c>
      <x:c r="G110" s="20" t="n">
        <x:v>1</x:v>
      </x:c>
      <x:c r="H110" s="20" t="n">
        <x:v>1</x:v>
      </x:c>
      <x:c r="I110" s="20" t="n">
        <x:v>0</x:v>
      </x:c>
      <x:c r="J110" s="20" t="n">
        <x:v>0</x:v>
      </x:c>
      <x:c r="K110" s="20" t="str">
        <x:v>standalone work</x:v>
      </x:c>
      <x:c r="L110" s="20" t="str">
        <x:v>provisional German-original: DNB metadata</x:v>
      </x:c>
      <x:c r="M110" s="20" t="str"/>
      <x:c r="N110" s="32" t="str">
        <x:v>REVIEW_REQUIRED</x:v>
      </x:c>
      <x:c r="O110" s="20" t="str">
        <x:v>thin evidence author</x:v>
      </x:c>
      <x:c r="P110" s="20" t="str">
        <x:v>shani-katayun-c7133d96c2</x:v>
      </x:c>
      <x:c r="Q110" s="20" t="str">
        <x:v>986883255</x:v>
      </x:c>
      <x:c r="R110" s="20" t="str">
        <x:v>830 Deutsche Literatur | B Belletristik</x:v>
      </x:c>
      <x:c r="S110" s="20" t="str"/>
      <x:c r="T110" s="20" t="str"/>
      <x:c r="U110" s="20" t="str"/>
      <x:c r="V110" s="25" t="n">
        <x:v>46287.72917824074</x:v>
      </x:c>
    </x:row>
    <x:row r="111" ht="52" customHeight="1">
      <x:c r="A111" s="20" t="str">
        <x:v>work-54edc9643d11</x:v>
      </x:c>
      <x:c r="B111" s="20" t="str">
        <x:v>Shida Bazyar</x:v>
      </x:c>
      <x:c r="C111" s="20" t="str">
        <x:v>Die Lücken</x:v>
      </x:c>
      <x:c r="D111" s="20" t="str">
        <x:v>Die Lücken : Roman | Nominiert für den Deutschen Buchpreis 2026</x:v>
      </x:c>
      <x:c r="E111" s="20" t="n">
        <x:v>2026</x:v>
      </x:c>
      <x:c r="F111" s="20" t="n">
        <x:v>2026</x:v>
      </x:c>
      <x:c r="G111" s="20" t="n">
        <x:v>2</x:v>
      </x:c>
      <x:c r="H111" s="20" t="n">
        <x:v>1</x:v>
      </x:c>
      <x:c r="I111" s="20" t="n">
        <x:v>1</x:v>
      </x:c>
      <x:c r="J111" s="20" t="n">
        <x:v>0</x:v>
      </x:c>
      <x:c r="K111" s="20" t="str">
        <x:v>standalone work</x:v>
      </x:c>
      <x:c r="L111" s="20" t="str">
        <x:v>provisional German-original: DNB metadata</x:v>
      </x:c>
      <x:c r="M111" s="20" t="str"/>
      <x:c r="N111" s="33" t="str">
        <x:v>AUTO_KEEP_PROVISIONAL</x:v>
      </x:c>
      <x:c r="O111" s="20" t="str"/>
      <x:c r="P111" s="20" t="str">
        <x:v>shida-bazyar-646b37790b</x:v>
      </x:c>
      <x:c r="Q111" s="20" t="str">
        <x:v>1395506272 | 1418256048</x:v>
      </x:c>
      <x:c r="R111" s="20" t="str">
        <x:v>830 Deutsche Literatur | B Belletristik</x:v>
      </x:c>
      <x:c r="S111" s="20" t="str">
        <x:v>2. Auflage | 1. Auflage</x:v>
      </x:c>
      <x:c r="T111" s="20" t="str"/>
      <x:c r="U111" s="20" t="str"/>
      <x:c r="V111" s="25" t="n">
        <x:v>46287.72917824074</x:v>
      </x:c>
    </x:row>
    <x:row r="112" ht="52" customHeight="1">
      <x:c r="A112" s="20" t="str">
        <x:v>work-f7ba804b1d9c</x:v>
      </x:c>
      <x:c r="B112" s="20" t="str">
        <x:v>Shida Bazyar</x:v>
      </x:c>
      <x:c r="C112" s="20" t="str">
        <x:v>Drei Kameradinnen</x:v>
      </x:c>
      <x:c r="D112" s="20" t="str">
        <x:v>Drei Kameradinnen : Roman | [Bazyar] ; Drei Kameradinnen : Roman | [Drei Kameradinnen] ; Banafshe Hourmazdi liest Drei Kameradinnen</x:v>
      </x:c>
      <x:c r="E112" s="20" t="n">
        <x:v>2021</x:v>
      </x:c>
      <x:c r="F112" s="20" t="n">
        <x:v>2022</x:v>
      </x:c>
      <x:c r="G112" s="20" t="n">
        <x:v>6</x:v>
      </x:c>
      <x:c r="H112" s="20" t="n">
        <x:v>2</x:v>
      </x:c>
      <x:c r="I112" s="20" t="n">
        <x:v>2</x:v>
      </x:c>
      <x:c r="J112" s="20" t="n">
        <x:v>3</x:v>
      </x:c>
      <x:c r="K112" s="20" t="str">
        <x:v>standalone work</x:v>
      </x:c>
      <x:c r="L112" s="20" t="str">
        <x:v>verified German-original</x:v>
      </x:c>
      <x:c r="M112" s="20" t="str">
        <x:v>publisher biography</x:v>
      </x:c>
      <x:c r="N112" s="32" t="str">
        <x:v>AUTO_KEEP_FLAGGED_FOR_SPOT_CHECK</x:v>
      </x:c>
      <x:c r="O112" s="20" t="str">
        <x:v>multiple original title groups merged</x:v>
      </x:c>
      <x:c r="P112" s="20" t="str">
        <x:v>shida-bazyar-3ebeeeb5a4 | shida-bazyar-98ff96b60d | shida-bazyar-9d25396001</x:v>
      </x:c>
      <x:c r="Q112" s="20" t="str">
        <x:v>1220308730 | 1220615927 | 1236108337 | 1255717203 | 1255717874 | 1264409540</x:v>
      </x:c>
      <x:c r="R112" s="20" t="str">
        <x:v>830 Deutsche Literatur | B Belletristik</x:v>
      </x:c>
      <x:c r="S112" s="20" t="str">
        <x:v>Ungekürze Lesung | 1. Auflage | 1. Auflage, Ungekürzte Ausgabe, ungekürzte Ausgabe</x:v>
      </x:c>
      <x:c r="T112" s="20" t="str"/>
      <x:c r="U112" s="20" t="str"/>
      <x:c r="V112" s="25" t="n">
        <x:v>46287.72917824074</x:v>
      </x:c>
    </x:row>
    <x:row r="113" ht="52" customHeight="1">
      <x:c r="A113" s="20" t="str">
        <x:v>work-8fe602b4ef96</x:v>
      </x:c>
      <x:c r="B113" s="20" t="str">
        <x:v>Shida Bazyar</x:v>
      </x:c>
      <x:c r="C113" s="20" t="str">
        <x:v>Nachts ist es leise in Teheran</x:v>
      </x:c>
      <x:c r="D113" s="20" t="str">
        <x:v>Nachts ist es leise in Teheran : Roman</x:v>
      </x:c>
      <x:c r="E113" s="20" t="n">
        <x:v>2016</x:v>
      </x:c>
      <x:c r="F113" s="20" t="n">
        <x:v>2017</x:v>
      </x:c>
      <x:c r="G113" s="20" t="n">
        <x:v>3</x:v>
      </x:c>
      <x:c r="H113" s="20" t="n">
        <x:v>2</x:v>
      </x:c>
      <x:c r="I113" s="20" t="n">
        <x:v>1</x:v>
      </x:c>
      <x:c r="J113" s="20" t="n">
        <x:v>0</x:v>
      </x:c>
      <x:c r="K113" s="20" t="str">
        <x:v>standalone work</x:v>
      </x:c>
      <x:c r="L113" s="20" t="str">
        <x:v>verified German-original</x:v>
      </x:c>
      <x:c r="M113" s="20" t="str">
        <x:v>publisher biography</x:v>
      </x:c>
      <x:c r="N113" s="33" t="str">
        <x:v>AUTO_KEEP_PROVISIONAL</x:v>
      </x:c>
      <x:c r="O113" s="20" t="str"/>
      <x:c r="P113" s="20" t="str">
        <x:v>shida-bazyar-8088ff611e</x:v>
      </x:c>
      <x:c r="Q113" s="20" t="str">
        <x:v>1079018891 | 110269245X | 113117870X</x:v>
      </x:c>
      <x:c r="R113" s="20" t="str">
        <x:v>830 Deutsche Literatur | B Belletristik</x:v>
      </x:c>
      <x:c r="S113" s="20" t="str">
        <x:v>1. Auflage</x:v>
      </x:c>
      <x:c r="T113" s="20" t="str"/>
      <x:c r="U113" s="20" t="str"/>
      <x:c r="V113" s="25" t="n">
        <x:v>46287.72917824074</x:v>
      </x:c>
    </x:row>
    <x:row r="114" ht="52" customHeight="1">
      <x:c r="A114" s="20" t="str">
        <x:v>work-a307a5c5a1e3</x:v>
      </x:c>
      <x:c r="B114" s="20" t="str">
        <x:v>Shida Bazyar</x:v>
      </x:c>
      <x:c r="C114" s="20" t="str">
        <x:v>Networking Remarque</x:v>
      </x:c>
      <x:c r="D114" s="20" t="str">
        <x:v>Networking Remarque : Zum 125. Geburtstag Erich Maria Remarques</x:v>
      </x:c>
      <x:c r="E114" s="20" t="n">
        <x:v>2024</x:v>
      </x:c>
      <x:c r="F114" s="20" t="n">
        <x:v>2024</x:v>
      </x:c>
      <x:c r="G114" s="20" t="n">
        <x:v>1</x:v>
      </x:c>
      <x:c r="H114" s="20" t="n">
        <x:v>0</x:v>
      </x:c>
      <x:c r="I114" s="20" t="n">
        <x:v>1</x:v>
      </x:c>
      <x:c r="J114" s="20" t="n">
        <x:v>0</x:v>
      </x:c>
      <x:c r="K114" s="20" t="str">
        <x:v>co-authored work</x:v>
      </x:c>
      <x:c r="L114" s="20" t="str">
        <x:v>provisional German-original: DNB metadata</x:v>
      </x:c>
      <x:c r="M114" s="20" t="str"/>
      <x:c r="N114" s="32" t="str">
        <x:v>REVIEW_REQUIRED</x:v>
      </x:c>
      <x:c r="O114" s="20" t="str">
        <x:v>multiple authors with Verfasser role</x:v>
      </x:c>
      <x:c r="P114" s="20" t="str">
        <x:v>shida-bazyar-40b1e3284e</x:v>
      </x:c>
      <x:c r="Q114" s="20" t="str">
        <x:v>1318623588</x:v>
      </x:c>
      <x:c r="R114" s="20" t="str">
        <x:v>830 Deutsche Literatur</x:v>
      </x:c>
      <x:c r="S114" s="20" t="str">
        <x:v>1. Auflage</x:v>
      </x:c>
      <x:c r="T114" s="20" t="str"/>
      <x:c r="U114" s="20" t="str"/>
      <x:c r="V114" s="25" t="n">
        <x:v>46287.72917824074</x:v>
      </x:c>
    </x:row>
    <x:row r="115" ht="52" customHeight="1">
      <x:c r="A115" s="20" t="str">
        <x:v>work-73b755638e4a</x:v>
      </x:c>
      <x:c r="B115" s="20" t="str">
        <x:v>Shirin Kumm</x:v>
      </x:c>
      <x:c r="C115" s="20" t="str">
        <x:v>Der Blick hinab</x:v>
      </x:c>
      <x:c r="D115" s="20" t="str">
        <x:v>Der Blick hinab : Roman</x:v>
      </x:c>
      <x:c r="E115" s="20" t="n">
        <x:v>2007</x:v>
      </x:c>
      <x:c r="F115" s="20" t="n">
        <x:v>2007</x:v>
      </x:c>
      <x:c r="G115" s="20" t="n">
        <x:v>1</x:v>
      </x:c>
      <x:c r="H115" s="20" t="n">
        <x:v>1</x:v>
      </x:c>
      <x:c r="I115" s="20" t="n">
        <x:v>0</x:v>
      </x:c>
      <x:c r="J115" s="20" t="n">
        <x:v>0</x:v>
      </x:c>
      <x:c r="K115" s="20" t="str">
        <x:v>standalone work</x:v>
      </x:c>
      <x:c r="L115" s="20" t="str">
        <x:v>verified German-original</x:v>
      </x:c>
      <x:c r="M115" s="20" t="str">
        <x:v>author profile</x:v>
      </x:c>
      <x:c r="N115" s="33" t="str">
        <x:v>AUTO_KEEP_PROVISIONAL</x:v>
      </x:c>
      <x:c r="O115" s="20" t="str"/>
      <x:c r="P115" s="20" t="str">
        <x:v>shirin-kumm-c8234979f5</x:v>
      </x:c>
      <x:c r="Q115" s="20" t="str">
        <x:v>979826152</x:v>
      </x:c>
      <x:c r="R115" s="20" t="str">
        <x:v>830 Deutsche Literatur | B Belletristik</x:v>
      </x:c>
      <x:c r="S115" s="20" t="str">
        <x:v>Orig.-Ausg., 1. Aufl</x:v>
      </x:c>
      <x:c r="T115" s="20" t="str"/>
      <x:c r="U115" s="20" t="str"/>
      <x:c r="V115" s="25" t="n">
        <x:v>46287.72917824074</x:v>
      </x:c>
    </x:row>
    <x:row r="116" ht="52" customHeight="1">
      <x:c r="A116" s="20" t="str">
        <x:v>work-d7bc408caebd</x:v>
      </x:c>
      <x:c r="B116" s="20" t="str">
        <x:v>Shirin Kumm</x:v>
      </x:c>
      <x:c r="C116" s="20" t="str">
        <x:v>Royadesara</x:v>
      </x:c>
      <x:c r="D116" s="20" t="str">
        <x:v>Royadesara : eine Verwirrung ; Roman</x:v>
      </x:c>
      <x:c r="E116" s="20" t="n">
        <x:v>2003</x:v>
      </x:c>
      <x:c r="F116" s="20" t="n">
        <x:v>2003</x:v>
      </x:c>
      <x:c r="G116" s="20" t="n">
        <x:v>1</x:v>
      </x:c>
      <x:c r="H116" s="20" t="n">
        <x:v>1</x:v>
      </x:c>
      <x:c r="I116" s="20" t="n">
        <x:v>0</x:v>
      </x:c>
      <x:c r="J116" s="20" t="n">
        <x:v>0</x:v>
      </x:c>
      <x:c r="K116" s="20" t="str">
        <x:v>standalone work</x:v>
      </x:c>
      <x:c r="L116" s="20" t="str">
        <x:v>verified German-original</x:v>
      </x:c>
      <x:c r="M116" s="20" t="str">
        <x:v>author profile</x:v>
      </x:c>
      <x:c r="N116" s="33" t="str">
        <x:v>AUTO_KEEP_PROVISIONAL</x:v>
      </x:c>
      <x:c r="O116" s="20" t="str"/>
      <x:c r="P116" s="20" t="str">
        <x:v>shirin-kumm-8814b74252</x:v>
      </x:c>
      <x:c r="Q116" s="20" t="str">
        <x:v>96576768X</x:v>
      </x:c>
      <x:c r="R116" s="20" t="str">
        <x:v>59 Belletristik</x:v>
      </x:c>
      <x:c r="S116" s="20" t="str">
        <x:v>1. Aufl</x:v>
      </x:c>
      <x:c r="T116" s="20" t="str"/>
      <x:c r="U116" s="20" t="str"/>
      <x:c r="V116" s="25" t="n">
        <x:v>46287.72917824074</x:v>
      </x:c>
    </x:row>
    <x:row r="117" ht="52" customHeight="1">
      <x:c r="A117" s="20" t="str">
        <x:v>work-5036f8500798</x:v>
      </x:c>
      <x:c r="B117" s="20" t="str">
        <x:v>Sudabeh Mohafez</x:v>
      </x:c>
      <x:c r="C117" s="20" t="str">
        <x:v>Anija Seedler, Sudabeh Mohafez</x:v>
      </x:c>
      <x:c r="D117" s="20" t="str">
        <x:v>Anija Seedler, Sudabeh Mohafez: Schattenfraß – Ein Theatrum Mundi | Anija Seedler, Sudabeh Mohafez: Schattenfraß – Ein Theatrum Mundi : enhanced</x:v>
      </x:c>
      <x:c r="E117" s="20" t="n">
        <x:v>2021</x:v>
      </x:c>
      <x:c r="F117" s="20" t="n">
        <x:v>2021</x:v>
      </x:c>
      <x:c r="G117" s="20" t="n">
        <x:v>2</x:v>
      </x:c>
      <x:c r="H117" s="20" t="n">
        <x:v>0</x:v>
      </x:c>
      <x:c r="I117" s="20" t="n">
        <x:v>2</x:v>
      </x:c>
      <x:c r="J117" s="20" t="n">
        <x:v>0</x:v>
      </x:c>
      <x:c r="K117" s="20" t="str">
        <x:v>co-authored work</x:v>
      </x:c>
      <x:c r="L117" s="20" t="str">
        <x:v>provisional German-original: DNB metadata</x:v>
      </x:c>
      <x:c r="M117" s="20" t="str"/>
      <x:c r="N117" s="32" t="str">
        <x:v>REVIEW_REQUIRED</x:v>
      </x:c>
      <x:c r="O117" s="20" t="str">
        <x:v>multiple authors with Verfasser role | multiple original title groups merged</x:v>
      </x:c>
      <x:c r="P117" s="20" t="str">
        <x:v>sudabeh-mohafez-5ff0e32b1c | sudabeh-mohafez-c47712e465</x:v>
      </x:c>
      <x:c r="Q117" s="20" t="str">
        <x:v>127521326X | 1275213286</x:v>
      </x:c>
      <x:c r="R117" s="20" t="str">
        <x:v>830 Deutsche Literatur</x:v>
      </x:c>
      <x:c r="S117" s="20" t="str"/>
      <x:c r="T117" s="20" t="str"/>
      <x:c r="U117" s="20" t="str"/>
      <x:c r="V117" s="25" t="n">
        <x:v>46287.72917824074</x:v>
      </x:c>
    </x:row>
    <x:row r="118" ht="52" customHeight="1">
      <x:c r="A118" s="20" t="str">
        <x:v>work-df972cb6dd97</x:v>
      </x:c>
      <x:c r="B118" s="20" t="str">
        <x:v>Sudabeh Mohafez</x:v>
      </x:c>
      <x:c r="C118" s="20" t="str">
        <x:v>Behalte den Flug im Gedächtnis</x:v>
      </x:c>
      <x:c r="D118" s="20" t="str">
        <x:v>Behalte den Flug im Gedächtnis : Erzählungen</x:v>
      </x:c>
      <x:c r="E118" s="20" t="n">
        <x:v>2017</x:v>
      </x:c>
      <x:c r="F118" s="20" t="n">
        <x:v>2017</x:v>
      </x:c>
      <x:c r="G118" s="20" t="n">
        <x:v>1</x:v>
      </x:c>
      <x:c r="H118" s="20" t="n">
        <x:v>1</x:v>
      </x:c>
      <x:c r="I118" s="20" t="n">
        <x:v>0</x:v>
      </x:c>
      <x:c r="J118" s="20" t="n">
        <x:v>0</x:v>
      </x:c>
      <x:c r="K118" s="20" t="str">
        <x:v>standalone work</x:v>
      </x:c>
      <x:c r="L118" s="20" t="str">
        <x:v>provisional German-original: DNB metadata</x:v>
      </x:c>
      <x:c r="M118" s="20" t="str"/>
      <x:c r="N118" s="33" t="str">
        <x:v>AUTO_KEEP_PROVISIONAL</x:v>
      </x:c>
      <x:c r="O118" s="20" t="str"/>
      <x:c r="P118" s="20" t="str">
        <x:v>sudabeh-mohafez-c7d65af21f</x:v>
      </x:c>
      <x:c r="Q118" s="20" t="str">
        <x:v>1130667677</x:v>
      </x:c>
      <x:c r="R118" s="20" t="str">
        <x:v>830 Deutsche Literatur | B Belletristik</x:v>
      </x:c>
      <x:c r="S118" s="20" t="str">
        <x:v>1. Auflage</x:v>
      </x:c>
      <x:c r="T118" s="20" t="str"/>
      <x:c r="U118" s="20" t="str"/>
      <x:c r="V118" s="25" t="n">
        <x:v>46287.72917824074</x:v>
      </x:c>
    </x:row>
    <x:row r="119" ht="52" customHeight="1">
      <x:c r="A119" s="20" t="str">
        <x:v>work-a6e8a8b6dc2e</x:v>
      </x:c>
      <x:c r="B119" s="20" t="str">
        <x:v>Sudabeh Mohafez</x:v>
      </x:c>
      <x:c r="C119" s="20" t="str">
        <x:v>brennt</x:v>
      </x:c>
      <x:c r="D119" s="20" t="str">
        <x:v>Brennt : Roman | brennt : Roman</x:v>
      </x:c>
      <x:c r="E119" s="20" t="n">
        <x:v>2010</x:v>
      </x:c>
      <x:c r="F119" s="20" t="n">
        <x:v>2015</x:v>
      </x:c>
      <x:c r="G119" s="20" t="n">
        <x:v>2</x:v>
      </x:c>
      <x:c r="H119" s="20" t="n">
        <x:v>1</x:v>
      </x:c>
      <x:c r="I119" s="20" t="n">
        <x:v>1</x:v>
      </x:c>
      <x:c r="J119" s="20" t="n">
        <x:v>0</x:v>
      </x:c>
      <x:c r="K119" s="20" t="str">
        <x:v>standalone work</x:v>
      </x:c>
      <x:c r="L119" s="20" t="str">
        <x:v>provisional German-original: DNB metadata</x:v>
      </x:c>
      <x:c r="M119" s="20" t="str"/>
      <x:c r="N119" s="33" t="str">
        <x:v>AUTO_KEEP_PROVISIONAL</x:v>
      </x:c>
      <x:c r="O119" s="20" t="str"/>
      <x:c r="P119" s="20" t="str">
        <x:v>sudabeh-mohafez-a267f40057</x:v>
      </x:c>
      <x:c r="Q119" s="20" t="str">
        <x:v>107998089X | 998801666</x:v>
      </x:c>
      <x:c r="R119" s="20" t="str">
        <x:v>830 Deutsche Literatur | B Belletristik</x:v>
      </x:c>
      <x:c r="S119" s="20" t="str">
        <x:v>1. Aufl</x:v>
      </x:c>
      <x:c r="T119" s="20" t="str"/>
      <x:c r="U119" s="20" t="str"/>
      <x:c r="V119" s="25" t="n">
        <x:v>46287.72917824074</x:v>
      </x:c>
    </x:row>
    <x:row r="120" ht="52" customHeight="1">
      <x:c r="A120" s="20" t="str">
        <x:v>work-ba756d5b9332</x:v>
      </x:c>
      <x:c r="B120" s="20" t="str">
        <x:v>Sudabeh Mohafez</x:v>
      </x:c>
      <x:c r="C120" s="20" t="str">
        <x:v>Das Lied vom Flederwisch</x:v>
      </x:c>
      <x:c r="D120" s="20" t="str">
        <x:v>Das Lied vom Flederwisch : ein fantastisches Bestiarium</x:v>
      </x:c>
      <x:c r="E120" s="20" t="n">
        <x:v>2019</x:v>
      </x:c>
      <x:c r="F120" s="20" t="n">
        <x:v>2019</x:v>
      </x:c>
      <x:c r="G120" s="20" t="n">
        <x:v>1</x:v>
      </x:c>
      <x:c r="H120" s="20" t="n">
        <x:v>1</x:v>
      </x:c>
      <x:c r="I120" s="20" t="n">
        <x:v>0</x:v>
      </x:c>
      <x:c r="J120" s="20" t="n">
        <x:v>0</x:v>
      </x:c>
      <x:c r="K120" s="20" t="str">
        <x:v>standalone work</x:v>
      </x:c>
      <x:c r="L120" s="20" t="str">
        <x:v>provisional German-original: DNB metadata</x:v>
      </x:c>
      <x:c r="M120" s="20" t="str"/>
      <x:c r="N120" s="33" t="str">
        <x:v>AUTO_KEEP_PROVISIONAL</x:v>
      </x:c>
      <x:c r="O120" s="20" t="str"/>
      <x:c r="P120" s="20" t="str">
        <x:v>sudabeh-mohafez-04f424f450</x:v>
      </x:c>
      <x:c r="Q120" s="20" t="str">
        <x:v>116848524X</x:v>
      </x:c>
      <x:c r="R120" s="20" t="str">
        <x:v>K Kinder- und Jugendliteratur</x:v>
      </x:c>
      <x:c r="S120" s="20" t="str"/>
      <x:c r="T120" s="20" t="str"/>
      <x:c r="U120" s="20" t="str"/>
      <x:c r="V120" s="25" t="n">
        <x:v>46287.72917824074</x:v>
      </x:c>
    </x:row>
    <x:row r="121" ht="52" customHeight="1">
      <x:c r="A121" s="20" t="str">
        <x:v>work-04cdc680248c</x:v>
      </x:c>
      <x:c r="B121" s="20" t="str">
        <x:v>Sudabeh Mohafez</x:v>
      </x:c>
      <x:c r="C121" s="20" t="str">
        <x:v>Das Zehn-Zeilen-Buch</x:v>
      </x:c>
      <x:c r="D121" s="20" t="str">
        <x:v>Das Zehn-Zeilen-Buch</x:v>
      </x:c>
      <x:c r="E121" s="20" t="n">
        <x:v>2010</x:v>
      </x:c>
      <x:c r="F121" s="20" t="n">
        <x:v>2010</x:v>
      </x:c>
      <x:c r="G121" s="20" t="n">
        <x:v>1</x:v>
      </x:c>
      <x:c r="H121" s="20" t="n">
        <x:v>1</x:v>
      </x:c>
      <x:c r="I121" s="20" t="n">
        <x:v>0</x:v>
      </x:c>
      <x:c r="J121" s="20" t="n">
        <x:v>0</x:v>
      </x:c>
      <x:c r="K121" s="20" t="str">
        <x:v>standalone work</x:v>
      </x:c>
      <x:c r="L121" s="20" t="str">
        <x:v>provisional German-original: DNB metadata</x:v>
      </x:c>
      <x:c r="M121" s="20" t="str"/>
      <x:c r="N121" s="33" t="str">
        <x:v>AUTO_KEEP_PROVISIONAL</x:v>
      </x:c>
      <x:c r="O121" s="20" t="str"/>
      <x:c r="P121" s="20" t="str">
        <x:v>sudabeh-mohafez-04cdc68024</x:v>
      </x:c>
      <x:c r="Q121" s="20" t="str">
        <x:v>1000390357</x:v>
      </x:c>
      <x:c r="R121" s="20" t="str">
        <x:v>830 Deutsche Literatur | B Belletristik</x:v>
      </x:c>
      <x:c r="S121" s="20" t="str"/>
      <x:c r="T121" s="20" t="str"/>
      <x:c r="U121" s="20" t="str"/>
      <x:c r="V121" s="25" t="n">
        <x:v>46287.72917824074</x:v>
      </x:c>
    </x:row>
    <x:row r="122" ht="52" customHeight="1">
      <x:c r="A122" s="20" t="str">
        <x:v>work-a72bb90841bc</x:v>
      </x:c>
      <x:c r="B122" s="20" t="str">
        <x:v>Sudabeh Mohafez</x:v>
      </x:c>
      <x:c r="C122" s="20" t="str">
        <x:v>Gespräch in Meeresnähe</x:v>
      </x:c>
      <x:c r="D122" s="20" t="str">
        <x:v>Gespräch in Meeresnähe : Roman</x:v>
      </x:c>
      <x:c r="E122" s="20" t="n">
        <x:v>2005</x:v>
      </x:c>
      <x:c r="F122" s="20" t="n">
        <x:v>2005</x:v>
      </x:c>
      <x:c r="G122" s="20" t="n">
        <x:v>1</x:v>
      </x:c>
      <x:c r="H122" s="20" t="n">
        <x:v>1</x:v>
      </x:c>
      <x:c r="I122" s="20" t="n">
        <x:v>0</x:v>
      </x:c>
      <x:c r="J122" s="20" t="n">
        <x:v>0</x:v>
      </x:c>
      <x:c r="K122" s="20" t="str">
        <x:v>standalone work</x:v>
      </x:c>
      <x:c r="L122" s="20" t="str">
        <x:v>provisional German-original: DNB metadata</x:v>
      </x:c>
      <x:c r="M122" s="20" t="str"/>
      <x:c r="N122" s="33" t="str">
        <x:v>AUTO_KEEP_PROVISIONAL</x:v>
      </x:c>
      <x:c r="O122" s="20" t="str"/>
      <x:c r="P122" s="20" t="str">
        <x:v>sudabeh-mohafez-58b6950cb6</x:v>
      </x:c>
      <x:c r="Q122" s="20" t="str">
        <x:v>975174460</x:v>
      </x:c>
      <x:c r="R122" s="20" t="str">
        <x:v>830 Deutsche Literatur | B Belletristik</x:v>
      </x:c>
      <x:c r="S122" s="20" t="str"/>
      <x:c r="T122" s="20" t="str"/>
      <x:c r="U122" s="20" t="str"/>
      <x:c r="V122" s="25" t="n">
        <x:v>46287.72917824074</x:v>
      </x:c>
    </x:row>
    <x:row r="123" ht="52" customHeight="1">
      <x:c r="A123" s="20" t="str">
        <x:v>work-d7b9d351468f</x:v>
      </x:c>
      <x:c r="B123" s="20" t="str">
        <x:v>Sudabeh Mohafez</x:v>
      </x:c>
      <x:c r="C123" s="20" t="str">
        <x:v>Kitsune</x:v>
      </x:c>
      <x:c r="D123" s="20" t="str">
        <x:v>Kitsune : 3 Mikroromane</x:v>
      </x:c>
      <x:c r="E123" s="20" t="n">
        <x:v>2016</x:v>
      </x:c>
      <x:c r="F123" s="20" t="n">
        <x:v>2016</x:v>
      </x:c>
      <x:c r="G123" s="20" t="n">
        <x:v>1</x:v>
      </x:c>
      <x:c r="H123" s="20" t="n">
        <x:v>1</x:v>
      </x:c>
      <x:c r="I123" s="20" t="n">
        <x:v>0</x:v>
      </x:c>
      <x:c r="J123" s="20" t="n">
        <x:v>0</x:v>
      </x:c>
      <x:c r="K123" s="20" t="str">
        <x:v>standalone work</x:v>
      </x:c>
      <x:c r="L123" s="20" t="str">
        <x:v>provisional German-original: DNB metadata</x:v>
      </x:c>
      <x:c r="M123" s="20" t="str"/>
      <x:c r="N123" s="33" t="str">
        <x:v>AUTO_KEEP_PROVISIONAL</x:v>
      </x:c>
      <x:c r="O123" s="20" t="str"/>
      <x:c r="P123" s="20" t="str">
        <x:v>sudabeh-mohafez-462201684d</x:v>
      </x:c>
      <x:c r="Q123" s="20" t="str">
        <x:v>1076515916</x:v>
      </x:c>
      <x:c r="R123" s="20" t="str">
        <x:v>830 Deutsche Literatur | B Belletristik</x:v>
      </x:c>
      <x:c r="S123" s="20" t="str">
        <x:v>Erstausgabe</x:v>
      </x:c>
      <x:c r="T123" s="20" t="str"/>
      <x:c r="U123" s="20" t="str"/>
      <x:c r="V123" s="25" t="n">
        <x:v>46287.72917824074</x:v>
      </x:c>
    </x:row>
    <x:row r="124" ht="52" customHeight="1">
      <x:c r="A124" s="20" t="str">
        <x:v>work-8534c8765afd</x:v>
      </x:c>
      <x:c r="B124" s="20" t="str">
        <x:v>Sudabeh Mohafez</x:v>
      </x:c>
      <x:c r="C124" s="20" t="str">
        <x:v>Wüstenhimmel Sternenland</x:v>
      </x:c>
      <x:c r="D124" s="20" t="str">
        <x:v>Wüstenhimmel Sternenland : Erzählungen</x:v>
      </x:c>
      <x:c r="E124" s="20" t="n">
        <x:v>2004</x:v>
      </x:c>
      <x:c r="F124" s="20" t="n">
        <x:v>2007</x:v>
      </x:c>
      <x:c r="G124" s="20" t="n">
        <x:v>2</x:v>
      </x:c>
      <x:c r="H124" s="20" t="n">
        <x:v>2</x:v>
      </x:c>
      <x:c r="I124" s="20" t="n">
        <x:v>0</x:v>
      </x:c>
      <x:c r="J124" s="20" t="n">
        <x:v>0</x:v>
      </x:c>
      <x:c r="K124" s="20" t="str">
        <x:v>standalone work</x:v>
      </x:c>
      <x:c r="L124" s="20" t="str">
        <x:v>provisional German-original: DNB metadata</x:v>
      </x:c>
      <x:c r="M124" s="20" t="str"/>
      <x:c r="N124" s="33" t="str">
        <x:v>AUTO_KEEP_PROVISIONAL</x:v>
      </x:c>
      <x:c r="O124" s="20" t="str"/>
      <x:c r="P124" s="20" t="str">
        <x:v>sudabeh-mohafez-5901c9c8a8</x:v>
      </x:c>
      <x:c r="Q124" s="20" t="str">
        <x:v>971634696 | 982456697</x:v>
      </x:c>
      <x:c r="R124" s="20" t="str">
        <x:v>830 Deutsche Literatur | B Belletristik</x:v>
      </x:c>
      <x:c r="S124" s="20" t="str"/>
      <x:c r="T124" s="20" t="str"/>
      <x:c r="U124" s="20" t="str"/>
      <x:c r="V124" s="25" t="n">
        <x:v>46287.72917824074</x:v>
      </x:c>
    </x:row>
    <x:row r="125" ht="52" customHeight="1">
      <x:c r="A125" s="20"/>
      <x:c r="B125" s="20"/>
      <x:c r="C125" s="20"/>
      <x:c r="D125" s="20"/>
      <x:c r="E125" s="20"/>
      <x:c r="F125" s="20"/>
      <x:c r="G125" s="20"/>
      <x:c r="H125" s="20"/>
      <x:c r="I125" s="20"/>
      <x:c r="J125" s="20"/>
      <x:c r="K125" s="20"/>
      <x:c r="L125" s="20"/>
      <x:c r="M125" s="20"/>
      <x:c r="N125" s="24"/>
      <x:c r="O125" s="20"/>
      <x:c r="P125" s="20"/>
      <x:c r="Q125" s="20"/>
      <x:c r="R125" s="20"/>
      <x:c r="S125" s="20"/>
      <x:c r="T125" s="20"/>
      <x:c r="U125" s="20"/>
      <x:c r="V125" s="25"/>
    </x:row>
    <x:row r="126" ht="52" customHeight="1">
      <x:c r="A126" s="20"/>
      <x:c r="B126" s="20"/>
      <x:c r="C126" s="20"/>
      <x:c r="D126" s="20"/>
      <x:c r="E126" s="20"/>
      <x:c r="F126" s="20"/>
      <x:c r="G126" s="20"/>
      <x:c r="H126" s="20"/>
      <x:c r="I126" s="20"/>
      <x:c r="J126" s="20"/>
      <x:c r="K126" s="20"/>
      <x:c r="L126" s="20"/>
      <x:c r="M126" s="20"/>
      <x:c r="N126" s="24"/>
      <x:c r="O126" s="20"/>
      <x:c r="P126" s="20"/>
      <x:c r="Q126" s="20"/>
      <x:c r="R126" s="20"/>
      <x:c r="S126" s="20"/>
      <x:c r="T126" s="20"/>
      <x:c r="U126" s="20"/>
      <x:c r="V126" s="25"/>
    </x:row>
    <x:row r="127" ht="52" customHeight="1">
      <x:c r="A127" s="20"/>
      <x:c r="B127" s="20"/>
      <x:c r="C127" s="20"/>
      <x:c r="D127" s="20"/>
      <x:c r="E127" s="20"/>
      <x:c r="F127" s="20"/>
      <x:c r="G127" s="20"/>
      <x:c r="H127" s="20"/>
      <x:c r="I127" s="20"/>
      <x:c r="J127" s="20"/>
      <x:c r="K127" s="20"/>
      <x:c r="L127" s="20"/>
      <x:c r="M127" s="20"/>
      <x:c r="N127" s="24"/>
      <x:c r="O127" s="20"/>
      <x:c r="P127" s="20"/>
      <x:c r="Q127" s="20"/>
      <x:c r="R127" s="20"/>
      <x:c r="S127" s="20"/>
      <x:c r="T127" s="20"/>
      <x:c r="U127" s="20"/>
      <x:c r="V127" s="25"/>
    </x:row>
    <x:row r="128" ht="52" customHeight="1">
      <x:c r="A128" s="20"/>
      <x:c r="B128" s="20"/>
      <x:c r="C128" s="20"/>
      <x:c r="D128" s="20"/>
      <x:c r="E128" s="20"/>
      <x:c r="F128" s="20"/>
      <x:c r="G128" s="20"/>
      <x:c r="H128" s="20"/>
      <x:c r="I128" s="20"/>
      <x:c r="J128" s="20"/>
      <x:c r="K128" s="20"/>
      <x:c r="L128" s="20"/>
      <x:c r="M128" s="20"/>
      <x:c r="N128" s="24"/>
      <x:c r="O128" s="20"/>
      <x:c r="P128" s="20"/>
      <x:c r="Q128" s="20"/>
      <x:c r="R128" s="20"/>
      <x:c r="S128" s="20"/>
      <x:c r="T128" s="20"/>
      <x:c r="U128" s="20"/>
      <x:c r="V128" s="25"/>
    </x:row>
  </x:sheetData>
  <x:mergeCells>
    <x:mergeCell ref="A1:V1"/>
    <x:mergeCell ref="A2:V2"/>
  </x:mergeCell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xSplit="3" ySplit="4" topLeftCell="D5" activePane="bottomRight" state="frozen"/>
    </x:sheetView>
  </x:sheetViews>
  <x:sheetFormatPr defaultRowHeight="15"/>
  <x:cols>
    <x:col min="1" max="1" width="35" hidden="0" customWidth="1"/>
    <x:col min="2" max="2" width="23" hidden="0" customWidth="1"/>
    <x:col min="3" max="3" width="3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45" hidden="0" customWidth="1"/>
  </x:cols>
  <x:sheetData>
    <x:row r="1" ht="30" customHeight="1">
      <x:c r="A1" s="3" t="str">
        <x:v>All 278 original title groups classified</x:v>
      </x:c>
      <x:c r="B1" s="3"/>
      <x:c r="C1" s="3"/>
      <x:c r="D1" s="3"/>
      <x:c r="E1" s="3"/>
      <x:c r="F1" s="3"/>
      <x:c r="G1" s="3"/>
      <x:c r="H1" s="3"/>
      <x:c r="I1" s="3"/>
      <x:c r="J1" s="3"/>
      <x:c r="K1" s="3"/>
      <x:c r="L1" s="3"/>
    </x:row>
    <x:row r="2" ht="44" customHeight="1">
      <x:c r="A2" s="7" t="str">
        <x:v>All 278 original title groups remain visible. The translation rule now reads source-language statements inside DNB titles and carries strong evidence across German editions of the same author and normalized title.</x:v>
      </x:c>
      <x:c r="B2" s="7"/>
      <x:c r="C2" s="7"/>
      <x:c r="D2" s="7"/>
      <x:c r="E2" s="7"/>
      <x:c r="F2" s="7"/>
      <x:c r="G2" s="7"/>
      <x:c r="H2" s="7"/>
      <x:c r="I2" s="7"/>
      <x:c r="J2" s="7"/>
      <x:c r="K2" s="7"/>
      <x:c r="L2" s="7"/>
    </x:row>
    <x:row r="4" ht="42" customHeight="1">
      <x:c r="A4" s="17" t="str">
        <x:v>Original candidate ID</x:v>
      </x:c>
      <x:c r="B4" s="17" t="str">
        <x:v>Author</x:v>
      </x:c>
      <x:c r="C4" s="17" t="str">
        <x:v>Original provisional title</x:v>
      </x:c>
      <x:c r="D4" s="17" t="str">
        <x:v>DNB records</x:v>
      </x:c>
      <x:c r="E4" s="17" t="str">
        <x:v>Automated classification</x:v>
      </x:c>
      <x:c r="F4" s="17" t="str">
        <x:v>Classification reason</x:v>
      </x:c>
      <x:c r="G4" s="17" t="str">
        <x:v>MARC language codes</x:v>
      </x:c>
      <x:c r="H4" s="17" t="str">
        <x:v>Literary-signal records</x:v>
      </x:c>
      <x:c r="I4" s="17" t="str">
        <x:v>German records</x:v>
      </x:c>
      <x:c r="J4" s="17" t="str">
        <x:v>Translation-evidence records</x:v>
      </x:c>
      <x:c r="K4" s="17" t="str">
        <x:v>Eligible records</x:v>
      </x:c>
      <x:c r="L4" s="17" t="str">
        <x:v>DNB IDNs</x:v>
      </x:c>
    </x:row>
    <x:row r="5" ht="44" customHeight="1">
      <x:c r="A5" s="20" t="str">
        <x:v>navid-kermani-4a1b4d71d9</x:v>
      </x:c>
      <x:c r="B5" s="20" t="str">
        <x:v>Navid Kermani</x:v>
      </x:c>
      <x:c r="C5" s="20" t="str">
        <x:v>"Den lieb ich, der Unmögliches begehrt" : Laudatio</x:v>
      </x:c>
      <x:c r="D5" s="20" t="n">
        <x:v>1</x:v>
      </x:c>
      <x:c r="E5" s="35" t="str">
        <x:v>CORE_FOR_WORK_CLUSTERING</x:v>
      </x:c>
      <x:c r="F5" s="20" t="str">
        <x:v>At least one German literary record without translation evidence.</x:v>
      </x:c>
      <x:c r="G5" s="20" t="str">
        <x:v>ger</x:v>
      </x:c>
      <x:c r="H5" s="20" t="n">
        <x:v>1</x:v>
      </x:c>
      <x:c r="I5" s="20" t="n">
        <x:v>1</x:v>
      </x:c>
      <x:c r="J5" s="20" t="n">
        <x:v>0</x:v>
      </x:c>
      <x:c r="K5" s="20" t="n">
        <x:v>1</x:v>
      </x:c>
      <x:c r="L5" s="20" t="str">
        <x:v>1114747963</x:v>
      </x:c>
    </x:row>
    <x:row r="6" ht="44" customHeight="1">
      <x:c r="A6" s="20" t="str">
        <x:v>navid-kermani-a903c46e28</x:v>
      </x:c>
      <x:c r="B6" s="20" t="str">
        <x:v>Navid Kermani</x:v>
      </x:c>
      <x:c r="C6" s="20" t="str">
        <x:v>[Ausnahmezustand] ; Izvanredno stanje : putovanje u uznemireni svijet</x:v>
      </x:c>
      <x:c r="D6" s="20" t="n">
        <x:v>1</x:v>
      </x:c>
      <x:c r="E6" s="36" t="str">
        <x:v>AUTO_EXCLUDE_NON_GERMAN</x:v>
      </x:c>
      <x:c r="F6" s="20" t="str">
        <x:v>All records are non-German publications.</x:v>
      </x:c>
      <x:c r="G6" s="20" t="str">
        <x:v>hrv</x:v>
      </x:c>
      <x:c r="H6" s="20" t="n">
        <x:v>0</x:v>
      </x:c>
      <x:c r="I6" s="20" t="n">
        <x:v>0</x:v>
      </x:c>
      <x:c r="J6" s="20" t="n">
        <x:v>1</x:v>
      </x:c>
      <x:c r="K6" s="20" t="n">
        <x:v>0</x:v>
      </x:c>
      <x:c r="L6" s="20" t="str">
        <x:v>1220382167</x:v>
      </x:c>
    </x:row>
    <x:row r="7" ht="44" customHeight="1">
      <x:c r="A7" s="20" t="str">
        <x:v>navid-kermani-019363e496</x:v>
      </x:c>
      <x:c r="B7" s="20" t="str">
        <x:v>Navid Kermani</x:v>
      </x:c>
      <x:c r="C7" s="20" t="str">
        <x:v>[Ausnahmezustand] ; Jin ji zhuang tai : shi ge chong tu zhi di, Yin Ba di qu, a la bo shi jie, Ou zhou bian jing de sheng huo ri chang = Ausnahmezustand : Reisen in eine beunruhigte Welt</x:v>
      </x:c>
      <x:c r="D7" s="20" t="n">
        <x:v>1</x:v>
      </x:c>
      <x:c r="E7" s="36" t="str">
        <x:v>AUTO_EXCLUDE_NON_GERMAN</x:v>
      </x:c>
      <x:c r="F7" s="20" t="str">
        <x:v>All records are non-German publications.</x:v>
      </x:c>
      <x:c r="G7" s="20" t="str">
        <x:v>chi</x:v>
      </x:c>
      <x:c r="H7" s="20" t="n">
        <x:v>0</x:v>
      </x:c>
      <x:c r="I7" s="20" t="n">
        <x:v>0</x:v>
      </x:c>
      <x:c r="J7" s="20" t="n">
        <x:v>1</x:v>
      </x:c>
      <x:c r="K7" s="20" t="n">
        <x:v>0</x:v>
      </x:c>
      <x:c r="L7" s="20" t="str">
        <x:v>1129470474</x:v>
      </x:c>
    </x:row>
    <x:row r="8" ht="44" customHeight="1">
      <x:c r="A8" s="20" t="str">
        <x:v>navid-kermani-5a7d2af05f</x:v>
      </x:c>
      <x:c r="B8" s="20" t="str">
        <x:v>Navid Kermani</x:v>
      </x:c>
      <x:c r="C8" s="20" t="str">
        <x:v>[Ausnahmezustand] ; State of emergency : travels in a troubled world</x:v>
      </x:c>
      <x:c r="D8" s="20" t="n">
        <x:v>1</x:v>
      </x:c>
      <x:c r="E8" s="36" t="str">
        <x:v>AUTO_EXCLUDE_NON_GERMAN</x:v>
      </x:c>
      <x:c r="F8" s="20" t="str">
        <x:v>All records are non-German publications.</x:v>
      </x:c>
      <x:c r="G8" s="20" t="str">
        <x:v>eng</x:v>
      </x:c>
      <x:c r="H8" s="20" t="n">
        <x:v>0</x:v>
      </x:c>
      <x:c r="I8" s="20" t="n">
        <x:v>0</x:v>
      </x:c>
      <x:c r="J8" s="20" t="n">
        <x:v>1</x:v>
      </x:c>
      <x:c r="K8" s="20" t="n">
        <x:v>0</x:v>
      </x:c>
      <x:c r="L8" s="20" t="str">
        <x:v>1145058493</x:v>
      </x:c>
    </x:row>
    <x:row r="9" ht="44" customHeight="1">
      <x:c r="A9" s="20" t="str">
        <x:v>navid-kermani-327ec7c459</x:v>
      </x:c>
      <x:c r="B9" s="20" t="str">
        <x:v>Navid Kermani</x:v>
      </x:c>
      <x:c r="C9" s="20" t="str">
        <x:v>[Ayda, Bär und Hase] ; Dietmat Bär liest Navid Kermani, Ayda, Bär und Hase : MP3-CD mit DAISY-Navigation</x:v>
      </x:c>
      <x:c r="D9" s="20" t="n">
        <x:v>2</x:v>
      </x:c>
      <x:c r="E9" s="35" t="str">
        <x:v>CORE_FOR_WORK_CLUSTERING</x:v>
      </x:c>
      <x:c r="F9" s="20" t="str">
        <x:v>At least one German literary record without translation evidence.</x:v>
      </x:c>
      <x:c r="G9" s="20" t="str">
        <x:v>ger</x:v>
      </x:c>
      <x:c r="H9" s="20" t="n">
        <x:v>2</x:v>
      </x:c>
      <x:c r="I9" s="20" t="n">
        <x:v>2</x:v>
      </x:c>
      <x:c r="J9" s="20" t="n">
        <x:v>0</x:v>
      </x:c>
      <x:c r="K9" s="20" t="n">
        <x:v>2</x:v>
      </x:c>
      <x:c r="L9" s="20" t="str">
        <x:v>1264371802 | 1117481603</x:v>
      </x:c>
    </x:row>
    <x:row r="10" ht="44" customHeight="1">
      <x:c r="A10" s="20" t="str">
        <x:v>navid-kermani-43034d9d71</x:v>
      </x:c>
      <x:c r="B10" s="20" t="str">
        <x:v>Navid Kermani</x:v>
      </x:c>
      <x:c r="C10" s="20" t="str">
        <x:v>[Einbruch der Wirklichkeit] ; bizūġ al-ḥaqīqa = Einbruch der Wirklichkeit &lt;arab.&gt;</x:v>
      </x:c>
      <x:c r="D10" s="20" t="n">
        <x:v>1</x:v>
      </x:c>
      <x:c r="E10" s="36" t="str">
        <x:v>AUTO_EXCLUDE_NON_GERMAN</x:v>
      </x:c>
      <x:c r="F10" s="20" t="str">
        <x:v>All records are non-German publications.</x:v>
      </x:c>
      <x:c r="G10" s="20" t="str">
        <x:v>ara</x:v>
      </x:c>
      <x:c r="H10" s="20" t="n">
        <x:v>0</x:v>
      </x:c>
      <x:c r="I10" s="20" t="n">
        <x:v>0</x:v>
      </x:c>
      <x:c r="J10" s="20" t="n">
        <x:v>0</x:v>
      </x:c>
      <x:c r="K10" s="20" t="n">
        <x:v>0</x:v>
      </x:c>
      <x:c r="L10" s="20" t="str">
        <x:v>1282670018</x:v>
      </x:c>
    </x:row>
    <x:row r="11" ht="44" customHeight="1">
      <x:c r="A11" s="20" t="str">
        <x:v>navid-kermani-803cf8696d</x:v>
      </x:c>
      <x:c r="B11" s="20" t="str">
        <x:v>Navid Kermani</x:v>
      </x:c>
      <x:c r="C11" s="20" t="str">
        <x:v>[Einbruch der Wirklichkeit] ; L' impeto della realtà : sulla rotta dei rifugiati attraverso l'Europa</x:v>
      </x:c>
      <x:c r="D11" s="20" t="n">
        <x:v>1</x:v>
      </x:c>
      <x:c r="E11" s="36" t="str">
        <x:v>AUTO_EXCLUDE_NON_GERMAN</x:v>
      </x:c>
      <x:c r="F11" s="20" t="str">
        <x:v>All records are non-German publications.</x:v>
      </x:c>
      <x:c r="G11" s="20" t="str">
        <x:v>ita</x:v>
      </x:c>
      <x:c r="H11" s="20" t="n">
        <x:v>0</x:v>
      </x:c>
      <x:c r="I11" s="20" t="n">
        <x:v>0</x:v>
      </x:c>
      <x:c r="J11" s="20" t="n">
        <x:v>1</x:v>
      </x:c>
      <x:c r="K11" s="20" t="n">
        <x:v>0</x:v>
      </x:c>
      <x:c r="L11" s="20" t="str">
        <x:v>1147492727</x:v>
      </x:c>
    </x:row>
    <x:row r="12" ht="44" customHeight="1">
      <x:c r="A12" s="20" t="str">
        <x:v>navid-kermani-642be340fc</x:v>
      </x:c>
      <x:c r="B12" s="20" t="str">
        <x:v>Navid Kermani</x:v>
      </x:c>
      <x:c r="C12" s="20" t="str">
        <x:v>[Einbruch der Wirklichkeit] ; Overvallen door de werkelijkheid : met de vluchtelingenstroom mee door Europa</x:v>
      </x:c>
      <x:c r="D12" s="20" t="n">
        <x:v>1</x:v>
      </x:c>
      <x:c r="E12" s="36" t="str">
        <x:v>AUTO_EXCLUDE_NON_GERMAN</x:v>
      </x:c>
      <x:c r="F12" s="20" t="str">
        <x:v>All records are non-German publications.</x:v>
      </x:c>
      <x:c r="G12" s="20" t="str">
        <x:v>dut</x:v>
      </x:c>
      <x:c r="H12" s="20" t="n">
        <x:v>0</x:v>
      </x:c>
      <x:c r="I12" s="20" t="n">
        <x:v>0</x:v>
      </x:c>
      <x:c r="J12" s="20" t="n">
        <x:v>0</x:v>
      </x:c>
      <x:c r="K12" s="20" t="n">
        <x:v>0</x:v>
      </x:c>
      <x:c r="L12" s="20" t="str">
        <x:v>1109917317</x:v>
      </x:c>
    </x:row>
    <x:row r="13" ht="44" customHeight="1">
      <x:c r="A13" s="20" t="str">
        <x:v>navid-kermani-3e3d64d81e</x:v>
      </x:c>
      <x:c r="B13" s="20" t="str">
        <x:v>Navid Kermani</x:v>
      </x:c>
      <x:c r="C13" s="20" t="str">
        <x:v>[Einbruch der Wirklichkeit] ; Upheaval : the refugee trek through Europe</x:v>
      </x:c>
      <x:c r="D13" s="20" t="n">
        <x:v>1</x:v>
      </x:c>
      <x:c r="E13" s="36" t="str">
        <x:v>AUTO_EXCLUDE_NON_GERMAN</x:v>
      </x:c>
      <x:c r="F13" s="20" t="str">
        <x:v>All records are non-German publications.</x:v>
      </x:c>
      <x:c r="G13" s="20" t="str">
        <x:v>eng</x:v>
      </x:c>
      <x:c r="H13" s="20" t="n">
        <x:v>0</x:v>
      </x:c>
      <x:c r="I13" s="20" t="n">
        <x:v>0</x:v>
      </x:c>
      <x:c r="J13" s="20" t="n">
        <x:v>1</x:v>
      </x:c>
      <x:c r="K13" s="20" t="n">
        <x:v>0</x:v>
      </x:c>
      <x:c r="L13" s="20" t="str">
        <x:v>1135505942</x:v>
      </x:c>
    </x:row>
    <x:row r="14" ht="44" customHeight="1">
      <x:c r="A14" s="20" t="str">
        <x:v>navid-kermani-982c869f63</x:v>
      </x:c>
      <x:c r="B14" s="20" t="str">
        <x:v>Navid Kermani</x:v>
      </x:c>
      <x:c r="C14" s="20" t="str">
        <x:v>[Gott ist schön] ; Tanri Güzeldir : kur`an ve estetik deneyim</x:v>
      </x:c>
      <x:c r="D14" s="20" t="n">
        <x:v>1</x:v>
      </x:c>
      <x:c r="E14" s="36" t="str">
        <x:v>AUTO_EXCLUDE_NON_GERMAN</x:v>
      </x:c>
      <x:c r="F14" s="20" t="str">
        <x:v>All records are non-German publications.</x:v>
      </x:c>
      <x:c r="G14" s="20" t="str">
        <x:v>tur</x:v>
      </x:c>
      <x:c r="H14" s="20" t="n">
        <x:v>0</x:v>
      </x:c>
      <x:c r="I14" s="20" t="n">
        <x:v>0</x:v>
      </x:c>
      <x:c r="J14" s="20" t="n">
        <x:v>0</x:v>
      </x:c>
      <x:c r="K14" s="20" t="n">
        <x:v>0</x:v>
      </x:c>
      <x:c r="L14" s="20" t="str">
        <x:v>126065284X</x:v>
      </x:c>
    </x:row>
    <x:row r="15" ht="44" customHeight="1">
      <x:c r="A15" s="20" t="str">
        <x:v>navid-kermani-8c2492f56b</x:v>
      </x:c>
      <x:c r="B15" s="20" t="str">
        <x:v>Navid Kermani</x:v>
      </x:c>
      <x:c r="C15" s="20" t="str">
        <x:v>[Israel] ; Israel : eine Korrespondenz</x:v>
      </x:c>
      <x:c r="D15" s="20" t="n">
        <x:v>2</x:v>
      </x:c>
      <x:c r="E15" s="36" t="str">
        <x:v>AUTO_EXCLUDE_NON_LITERARY</x:v>
      </x:c>
      <x:c r="F15" s="20" t="str">
        <x:v>German record(s), but no stated literary subject or genre signal.</x:v>
      </x:c>
      <x:c r="G15" s="20" t="str">
        <x:v>ger</x:v>
      </x:c>
      <x:c r="H15" s="20" t="n">
        <x:v>0</x:v>
      </x:c>
      <x:c r="I15" s="20" t="n">
        <x:v>2</x:v>
      </x:c>
      <x:c r="J15" s="20" t="n">
        <x:v>0</x:v>
      </x:c>
      <x:c r="K15" s="20" t="n">
        <x:v>0</x:v>
      </x:c>
      <x:c r="L15" s="20" t="str">
        <x:v>1308580282 | 1310311757</x:v>
      </x:c>
    </x:row>
    <x:row r="16" ht="44" customHeight="1">
      <x:c r="A16" s="20" t="str">
        <x:v>navid-kermani-d581102a56</x:v>
      </x:c>
      <x:c r="B16" s="20" t="str">
        <x:v>Navid Kermani</x:v>
      </x:c>
      <x:c r="C16" s="20" t="str">
        <x:v>[Kermani] ; Along the trenches : a journey through Eastern Europe to Isfahan</x:v>
      </x:c>
      <x:c r="D16" s="20" t="n">
        <x:v>1</x:v>
      </x:c>
      <x:c r="E16" s="36" t="str">
        <x:v>AUTO_EXCLUDE_NON_GERMAN</x:v>
      </x:c>
      <x:c r="F16" s="20" t="str">
        <x:v>All records are non-German publications.</x:v>
      </x:c>
      <x:c r="G16" s="20" t="str">
        <x:v>eng</x:v>
      </x:c>
      <x:c r="H16" s="20" t="n">
        <x:v>0</x:v>
      </x:c>
      <x:c r="I16" s="20" t="n">
        <x:v>0</x:v>
      </x:c>
      <x:c r="J16" s="20" t="n">
        <x:v>0</x:v>
      </x:c>
      <x:c r="K16" s="20" t="n">
        <x:v>0</x:v>
      </x:c>
      <x:c r="L16" s="20" t="str">
        <x:v>1200594487</x:v>
      </x:c>
    </x:row>
    <x:row r="17" ht="44" customHeight="1">
      <x:c r="A17" s="20" t="str">
        <x:v>navid-kermani-bba8cfbad8</x:v>
      </x:c>
      <x:c r="B17" s="20" t="str">
        <x:v>Navid Kermani</x:v>
      </x:c>
      <x:c r="C17" s="20" t="str">
        <x:v>[Kermani] ; Christian Brückner liest Sozusagen Paris</x:v>
      </x:c>
      <x:c r="D17" s="20" t="n">
        <x:v>1</x:v>
      </x:c>
      <x:c r="E17" s="35" t="str">
        <x:v>CORE_FOR_WORK_CLUSTERING</x:v>
      </x:c>
      <x:c r="F17" s="20" t="str">
        <x:v>At least one German literary record without translation evidence.</x:v>
      </x:c>
      <x:c r="G17" s="20" t="str">
        <x:v>ger</x:v>
      </x:c>
      <x:c r="H17" s="20" t="n">
        <x:v>1</x:v>
      </x:c>
      <x:c r="I17" s="20" t="n">
        <x:v>1</x:v>
      </x:c>
      <x:c r="J17" s="20" t="n">
        <x:v>0</x:v>
      </x:c>
      <x:c r="K17" s="20" t="n">
        <x:v>1</x:v>
      </x:c>
      <x:c r="L17" s="20" t="str">
        <x:v>1098556119</x:v>
      </x:c>
    </x:row>
    <x:row r="18" ht="44" customHeight="1">
      <x:c r="A18" s="20" t="str">
        <x:v>navid-kermani-9adfb9cb57</x:v>
      </x:c>
      <x:c r="B18" s="20" t="str">
        <x:v>Navid Kermani</x:v>
      </x:c>
      <x:c r="C18" s="20" t="str">
        <x:v>[Kermani] ; Een stap dichterbij komen : over geloof, ongeloof en troost</x:v>
      </x:c>
      <x:c r="D18" s="20" t="n">
        <x:v>1</x:v>
      </x:c>
      <x:c r="E18" s="36" t="str">
        <x:v>AUTO_EXCLUDE_NON_GERMAN</x:v>
      </x:c>
      <x:c r="F18" s="20" t="str">
        <x:v>All records are non-German publications.</x:v>
      </x:c>
      <x:c r="G18" s="20" t="str">
        <x:v>dut</x:v>
      </x:c>
      <x:c r="H18" s="20" t="n">
        <x:v>0</x:v>
      </x:c>
      <x:c r="I18" s="20" t="n">
        <x:v>0</x:v>
      </x:c>
      <x:c r="J18" s="20" t="n">
        <x:v>1</x:v>
      </x:c>
      <x:c r="K18" s="20" t="n">
        <x:v>0</x:v>
      </x:c>
      <x:c r="L18" s="20" t="str">
        <x:v>1284889831</x:v>
      </x:c>
    </x:row>
    <x:row r="19" ht="44" customHeight="1">
      <x:c r="A19" s="20" t="str">
        <x:v>navid-kermani-cebecd6ae5</x:v>
      </x:c>
      <x:c r="B19" s="20" t="str">
        <x:v>Navid Kermani</x:v>
      </x:c>
      <x:c r="C19" s="20" t="str">
        <x:v>[Kermani] ; Entlang den Gräben : eine Reise durch das östliche Europa bis nach Isfahan</x:v>
      </x:c>
      <x:c r="D19" s="20" t="n">
        <x:v>1</x:v>
      </x:c>
      <x:c r="E19" s="36" t="str">
        <x:v>AUTO_EXCLUDE_NON_LITERARY</x:v>
      </x:c>
      <x:c r="F19" s="20" t="str">
        <x:v>German record(s), but no stated literary subject or genre signal.</x:v>
      </x:c>
      <x:c r="G19" s="20" t="str">
        <x:v>ger</x:v>
      </x:c>
      <x:c r="H19" s="20" t="n">
        <x:v>0</x:v>
      </x:c>
      <x:c r="I19" s="20" t="n">
        <x:v>1</x:v>
      </x:c>
      <x:c r="J19" s="20" t="n">
        <x:v>0</x:v>
      </x:c>
      <x:c r="K19" s="20" t="n">
        <x:v>0</x:v>
      </x:c>
      <x:c r="L19" s="20" t="str">
        <x:v>1205980288</x:v>
      </x:c>
    </x:row>
    <x:row r="20" ht="44" customHeight="1">
      <x:c r="A20" s="20" t="str">
        <x:v>navid-kermani-bf81047da4</x:v>
      </x:c>
      <x:c r="B20" s="20" t="str">
        <x:v>Navid Kermani</x:v>
      </x:c>
      <x:c r="C20" s="20" t="str">
        <x:v>[Kermani] ; Everyone, wherever you are, come one step closer : questions about god</x:v>
      </x:c>
      <x:c r="D20" s="20" t="n">
        <x:v>1</x:v>
      </x:c>
      <x:c r="E20" s="36" t="str">
        <x:v>AUTO_EXCLUDE_NON_GERMAN</x:v>
      </x:c>
      <x:c r="F20" s="20" t="str">
        <x:v>All records are non-German publications.</x:v>
      </x:c>
      <x:c r="G20" s="20" t="str">
        <x:v>eng</x:v>
      </x:c>
      <x:c r="H20" s="20" t="n">
        <x:v>0</x:v>
      </x:c>
      <x:c r="I20" s="20" t="n">
        <x:v>0</x:v>
      </x:c>
      <x:c r="J20" s="20" t="n">
        <x:v>1</x:v>
      </x:c>
      <x:c r="K20" s="20" t="n">
        <x:v>0</x:v>
      </x:c>
      <x:c r="L20" s="20" t="str">
        <x:v>130218430X</x:v>
      </x:c>
    </x:row>
    <x:row r="21" ht="44" customHeight="1">
      <x:c r="A21" s="20" t="str">
        <x:v>navid-kermani-80a9af724b</x:v>
      </x:c>
      <x:c r="B21" s="20" t="str">
        <x:v>Navid Kermani</x:v>
      </x:c>
      <x:c r="C21" s="20" t="str">
        <x:v>[Kermani] ; Goddelijke kunst</x:v>
      </x:c>
      <x:c r="D21" s="20" t="n">
        <x:v>1</x:v>
      </x:c>
      <x:c r="E21" s="36" t="str">
        <x:v>AUTO_EXCLUDE_NON_GERMAN</x:v>
      </x:c>
      <x:c r="F21" s="20" t="str">
        <x:v>All records are non-German publications.</x:v>
      </x:c>
      <x:c r="G21" s="20" t="str">
        <x:v>dut</x:v>
      </x:c>
      <x:c r="H21" s="20" t="n">
        <x:v>0</x:v>
      </x:c>
      <x:c r="I21" s="20" t="n">
        <x:v>0</x:v>
      </x:c>
      <x:c r="J21" s="20" t="n">
        <x:v>0</x:v>
      </x:c>
      <x:c r="K21" s="20" t="n">
        <x:v>0</x:v>
      </x:c>
      <x:c r="L21" s="20" t="str">
        <x:v>1124947566</x:v>
      </x:c>
    </x:row>
    <x:row r="22" ht="44" customHeight="1">
      <x:c r="A22" s="20" t="str">
        <x:v>navid-kermani-50bd52f521</x:v>
      </x:c>
      <x:c r="B22" s="20" t="str">
        <x:v>Navid Kermani</x:v>
      </x:c>
      <x:c r="C22" s="20" t="str">
        <x:v>[Kermani] ; Incroyable Christianisme</x:v>
      </x:c>
      <x:c r="D22" s="20" t="n">
        <x:v>1</x:v>
      </x:c>
      <x:c r="E22" s="36" t="str">
        <x:v>AUTO_EXCLUDE_NON_GERMAN</x:v>
      </x:c>
      <x:c r="F22" s="20" t="str">
        <x:v>All records are non-German publications.</x:v>
      </x:c>
      <x:c r="G22" s="20" t="str">
        <x:v>fre</x:v>
      </x:c>
      <x:c r="H22" s="20" t="n">
        <x:v>0</x:v>
      </x:c>
      <x:c r="I22" s="20" t="n">
        <x:v>0</x:v>
      </x:c>
      <x:c r="J22" s="20" t="n">
        <x:v>0</x:v>
      </x:c>
      <x:c r="K22" s="20" t="n">
        <x:v>0</x:v>
      </x:c>
      <x:c r="L22" s="20" t="str">
        <x:v>1114845787</x:v>
      </x:c>
    </x:row>
    <x:row r="23" ht="44" customHeight="1">
      <x:c r="A23" s="20" t="str">
        <x:v>navid-kermani-cf6ac90f4c</x:v>
      </x:c>
      <x:c r="B23" s="20" t="str">
        <x:v>Navid Kermani</x:v>
      </x:c>
      <x:c r="C23" s="20" t="str">
        <x:v>[Kermani] ; Incrédulo asombro : sobre el cristianismo</x:v>
      </x:c>
      <x:c r="D23" s="20" t="n">
        <x:v>1</x:v>
      </x:c>
      <x:c r="E23" s="36" t="str">
        <x:v>AUTO_EXCLUDE_NON_GERMAN</x:v>
      </x:c>
      <x:c r="F23" s="20" t="str">
        <x:v>All records are non-German publications.</x:v>
      </x:c>
      <x:c r="G23" s="20" t="str">
        <x:v>spa</x:v>
      </x:c>
      <x:c r="H23" s="20" t="n">
        <x:v>0</x:v>
      </x:c>
      <x:c r="I23" s="20" t="n">
        <x:v>0</x:v>
      </x:c>
      <x:c r="J23" s="20" t="n">
        <x:v>0</x:v>
      </x:c>
      <x:c r="K23" s="20" t="n">
        <x:v>0</x:v>
      </x:c>
      <x:c r="L23" s="20" t="str">
        <x:v>116094721X</x:v>
      </x:c>
    </x:row>
    <x:row r="24" ht="44" customHeight="1">
      <x:c r="A24" s="20" t="str">
        <x:v>navid-kermani-9295ca0bfa</x:v>
      </x:c>
      <x:c r="B24" s="20" t="str">
        <x:v>Navid Kermani</x:v>
      </x:c>
      <x:c r="C24" s="20" t="str">
        <x:v>[Kermani] ; Langs grænser og grave : en rejse gennem det østligste Europa til Isfahan</x:v>
      </x:c>
      <x:c r="D24" s="20" t="n">
        <x:v>1</x:v>
      </x:c>
      <x:c r="E24" s="36" t="str">
        <x:v>AUTO_EXCLUDE_NON_GERMAN</x:v>
      </x:c>
      <x:c r="F24" s="20" t="str">
        <x:v>All records are non-German publications.</x:v>
      </x:c>
      <x:c r="G24" s="20" t="str">
        <x:v>dan</x:v>
      </x:c>
      <x:c r="H24" s="20" t="n">
        <x:v>0</x:v>
      </x:c>
      <x:c r="I24" s="20" t="n">
        <x:v>0</x:v>
      </x:c>
      <x:c r="J24" s="20" t="n">
        <x:v>0</x:v>
      </x:c>
      <x:c r="K24" s="20" t="n">
        <x:v>0</x:v>
      </x:c>
      <x:c r="L24" s="20" t="str">
        <x:v>1174718196</x:v>
      </x:c>
    </x:row>
    <x:row r="25" ht="44" customHeight="1">
      <x:c r="A25" s="20" t="str">
        <x:v>navid-kermani-be21da4f71</x:v>
      </x:c>
      <x:c r="B25" s="20" t="str">
        <x:v>Navid Kermani</x:v>
      </x:c>
      <x:c r="C25" s="20" t="str">
        <x:v>[Kermani] ; Lo stupore e la bellezza : meraviglia e seduzione dell'arte cristiana</x:v>
      </x:c>
      <x:c r="D25" s="20" t="n">
        <x:v>1</x:v>
      </x:c>
      <x:c r="E25" s="36" t="str">
        <x:v>AUTO_EXCLUDE_NON_GERMAN</x:v>
      </x:c>
      <x:c r="F25" s="20" t="str">
        <x:v>All records are non-German publications.</x:v>
      </x:c>
      <x:c r="G25" s="20" t="str">
        <x:v>ita</x:v>
      </x:c>
      <x:c r="H25" s="20" t="n">
        <x:v>0</x:v>
      </x:c>
      <x:c r="I25" s="20" t="n">
        <x:v>0</x:v>
      </x:c>
      <x:c r="J25" s="20" t="n">
        <x:v>0</x:v>
      </x:c>
      <x:c r="K25" s="20" t="n">
        <x:v>0</x:v>
      </x:c>
      <x:c r="L25" s="20" t="str">
        <x:v>1148301534</x:v>
      </x:c>
    </x:row>
    <x:row r="26" ht="44" customHeight="1">
      <x:c r="A26" s="20" t="str">
        <x:v>navid-kermani-dbacc0e3d8</x:v>
      </x:c>
      <x:c r="B26" s="20" t="str">
        <x:v>Navid Kermani</x:v>
      </x:c>
      <x:c r="C26" s="20" t="str">
        <x:v>[Kermani] ; Love writ large</x:v>
      </x:c>
      <x:c r="D26" s="20" t="n">
        <x:v>1</x:v>
      </x:c>
      <x:c r="E26" s="36" t="str">
        <x:v>AUTO_EXCLUDE_NON_GERMAN</x:v>
      </x:c>
      <x:c r="F26" s="20" t="str">
        <x:v>All records are non-German publications.</x:v>
      </x:c>
      <x:c r="G26" s="20" t="str">
        <x:v>eng</x:v>
      </x:c>
      <x:c r="H26" s="20" t="n">
        <x:v>1</x:v>
      </x:c>
      <x:c r="I26" s="20" t="n">
        <x:v>0</x:v>
      </x:c>
      <x:c r="J26" s="20" t="n">
        <x:v>1</x:v>
      </x:c>
      <x:c r="K26" s="20" t="n">
        <x:v>0</x:v>
      </x:c>
      <x:c r="L26" s="20" t="str">
        <x:v>1191763986</x:v>
      </x:c>
    </x:row>
    <x:row r="27" ht="44" customHeight="1">
      <x:c r="A27" s="20" t="str">
        <x:v>navid-kermani-0fb9f9b51b</x:v>
      </x:c>
      <x:c r="B27" s="20" t="str">
        <x:v>Navid Kermani</x:v>
      </x:c>
      <x:c r="C27" s="20" t="str">
        <x:v>[Kermani] ; Ob jarkih : potovanje čez vzhodno Evropo do Isfahana</x:v>
      </x:c>
      <x:c r="D27" s="20" t="n">
        <x:v>1</x:v>
      </x:c>
      <x:c r="E27" s="36" t="str">
        <x:v>AUTO_EXCLUDE_NON_GERMAN</x:v>
      </x:c>
      <x:c r="F27" s="20" t="str">
        <x:v>All records are non-German publications.</x:v>
      </x:c>
      <x:c r="G27" s="20" t="str">
        <x:v>slv</x:v>
      </x:c>
      <x:c r="H27" s="20" t="n">
        <x:v>0</x:v>
      </x:c>
      <x:c r="I27" s="20" t="n">
        <x:v>0</x:v>
      </x:c>
      <x:c r="J27" s="20" t="n">
        <x:v>1</x:v>
      </x:c>
      <x:c r="K27" s="20" t="n">
        <x:v>0</x:v>
      </x:c>
      <x:c r="L27" s="20" t="str">
        <x:v>131805379X</x:v>
      </x:c>
    </x:row>
    <x:row r="28" ht="44" customHeight="1">
      <x:c r="A28" s="20" t="str">
        <x:v>navid-kermani-028df14b1c</x:v>
      </x:c>
      <x:c r="B28" s="20" t="str">
        <x:v>Navid Kermani</x:v>
      </x:c>
      <x:c r="C28" s="20" t="str">
        <x:v>[Kermani] ; Paris, so to speak</x:v>
      </x:c>
      <x:c r="D28" s="20" t="n">
        <x:v>1</x:v>
      </x:c>
      <x:c r="E28" s="36" t="str">
        <x:v>AUTO_EXCLUDE_NON_GERMAN</x:v>
      </x:c>
      <x:c r="F28" s="20" t="str">
        <x:v>All records are non-German publications.</x:v>
      </x:c>
      <x:c r="G28" s="20" t="str">
        <x:v>eng</x:v>
      </x:c>
      <x:c r="H28" s="20" t="n">
        <x:v>1</x:v>
      </x:c>
      <x:c r="I28" s="20" t="n">
        <x:v>0</x:v>
      </x:c>
      <x:c r="J28" s="20" t="n">
        <x:v>1</x:v>
      </x:c>
      <x:c r="K28" s="20" t="n">
        <x:v>0</x:v>
      </x:c>
      <x:c r="L28" s="20" t="str">
        <x:v>1300063513</x:v>
      </x:c>
    </x:row>
    <x:row r="29" ht="44" customHeight="1">
      <x:c r="A29" s="20" t="str">
        <x:v>navid-kermani-8742f6c19f</x:v>
      </x:c>
      <x:c r="B29" s="20" t="str">
        <x:v>Navid Kermani</x:v>
      </x:c>
      <x:c r="C29" s="20" t="str">
        <x:v>[Kermani] ; Por las trincheras : un viaje por Europa del Este hasta Isfahán</x:v>
      </x:c>
      <x:c r="D29" s="20" t="n">
        <x:v>1</x:v>
      </x:c>
      <x:c r="E29" s="36" t="str">
        <x:v>AUTO_EXCLUDE_NON_GERMAN</x:v>
      </x:c>
      <x:c r="F29" s="20" t="str">
        <x:v>All records are non-German publications.</x:v>
      </x:c>
      <x:c r="G29" s="20" t="str">
        <x:v>spa</x:v>
      </x:c>
      <x:c r="H29" s="20" t="n">
        <x:v>0</x:v>
      </x:c>
      <x:c r="I29" s="20" t="n">
        <x:v>0</x:v>
      </x:c>
      <x:c r="J29" s="20" t="n">
        <x:v>0</x:v>
      </x:c>
      <x:c r="K29" s="20" t="n">
        <x:v>0</x:v>
      </x:c>
      <x:c r="L29" s="20" t="str">
        <x:v>1200595289</x:v>
      </x:c>
    </x:row>
    <x:row r="30" ht="44" customHeight="1">
      <x:c r="A30" s="20" t="str">
        <x:v>navid-kermani-dfd2e8b61f</x:v>
      </x:c>
      <x:c r="B30" s="20" t="str">
        <x:v>Navid Kermani</x:v>
      </x:c>
      <x:c r="C30" s="20" t="str">
        <x:v>[Kermani] ; Sozusagen Paris : Roman</x:v>
      </x:c>
      <x:c r="D30" s="20" t="n">
        <x:v>2</x:v>
      </x:c>
      <x:c r="E30" s="35" t="str">
        <x:v>CORE_FOR_WORK_CLUSTERING</x:v>
      </x:c>
      <x:c r="F30" s="20" t="str">
        <x:v>At least one German literary record without translation evidence.</x:v>
      </x:c>
      <x:c r="G30" s="20" t="str">
        <x:v>ger</x:v>
      </x:c>
      <x:c r="H30" s="20" t="n">
        <x:v>2</x:v>
      </x:c>
      <x:c r="I30" s="20" t="n">
        <x:v>2</x:v>
      </x:c>
      <x:c r="J30" s="20" t="n">
        <x:v>0</x:v>
      </x:c>
      <x:c r="K30" s="20" t="n">
        <x:v>2</x:v>
      </x:c>
      <x:c r="L30" s="20" t="str">
        <x:v>113088550X | 1097285871</x:v>
      </x:c>
    </x:row>
    <x:row r="31" ht="44" customHeight="1">
      <x:c r="A31" s="20" t="str">
        <x:v>navid-kermani-e9a947290f</x:v>
      </x:c>
      <x:c r="B31" s="20" t="str">
        <x:v>Navid Kermani</x:v>
      </x:c>
      <x:c r="C31" s="20" t="str">
        <x:v>[Kermani] ; Ungläubiges Staunen : über das Christentum</x:v>
      </x:c>
      <x:c r="D31" s="20" t="n">
        <x:v>2</x:v>
      </x:c>
      <x:c r="E31" s="36" t="str">
        <x:v>AUTO_EXCLUDE_NON_LITERARY</x:v>
      </x:c>
      <x:c r="F31" s="20" t="str">
        <x:v>German record(s), but no stated literary subject or genre signal.</x:v>
      </x:c>
      <x:c r="G31" s="20" t="str">
        <x:v>ger</x:v>
      </x:c>
      <x:c r="H31" s="20" t="n">
        <x:v>0</x:v>
      </x:c>
      <x:c r="I31" s="20" t="n">
        <x:v>2</x:v>
      </x:c>
      <x:c r="J31" s="20" t="n">
        <x:v>0</x:v>
      </x:c>
      <x:c r="K31" s="20" t="n">
        <x:v>0</x:v>
      </x:c>
      <x:c r="L31" s="20" t="str">
        <x:v>1207407151 | 1129468569</x:v>
      </x:c>
    </x:row>
    <x:row r="32" ht="44" customHeight="1">
      <x:c r="A32" s="20" t="str">
        <x:v>navid-kermani-823b53bf42</x:v>
      </x:c>
      <x:c r="B32" s="20" t="str">
        <x:v>Navid Kermani</x:v>
      </x:c>
      <x:c r="C32" s="20" t="str">
        <x:v>[Kermani] ; Uzduž rovova : putovanje istočnom Europom sve do Isfahana</x:v>
      </x:c>
      <x:c r="D32" s="20" t="n">
        <x:v>1</x:v>
      </x:c>
      <x:c r="E32" s="36" t="str">
        <x:v>AUTO_EXCLUDE_NON_GERMAN</x:v>
      </x:c>
      <x:c r="F32" s="20" t="str">
        <x:v>All records are non-German publications.</x:v>
      </x:c>
      <x:c r="G32" s="20" t="str">
        <x:v>hrv</x:v>
      </x:c>
      <x:c r="H32" s="20" t="n">
        <x:v>0</x:v>
      </x:c>
      <x:c r="I32" s="20" t="n">
        <x:v>0</x:v>
      </x:c>
      <x:c r="J32" s="20" t="n">
        <x:v>1</x:v>
      </x:c>
      <x:c r="K32" s="20" t="n">
        <x:v>0</x:v>
      </x:c>
      <x:c r="L32" s="20" t="str">
        <x:v>1248729285</x:v>
      </x:c>
    </x:row>
    <x:row r="33" ht="44" customHeight="1">
      <x:c r="A33" s="20" t="str">
        <x:v>navid-kermani-6f625089ca</x:v>
      </x:c>
      <x:c r="B33" s="20" t="str">
        <x:v>Navid Kermani</x:v>
      </x:c>
      <x:c r="C33" s="20" t="str">
        <x:v>[Kermani] ; Vantro undring : om kristendommen</x:v>
      </x:c>
      <x:c r="D33" s="20" t="n">
        <x:v>1</x:v>
      </x:c>
      <x:c r="E33" s="36" t="str">
        <x:v>AUTO_EXCLUDE_NON_GERMAN</x:v>
      </x:c>
      <x:c r="F33" s="20" t="str">
        <x:v>All records are non-German publications.</x:v>
      </x:c>
      <x:c r="G33" s="20" t="str">
        <x:v>nor</x:v>
      </x:c>
      <x:c r="H33" s="20" t="n">
        <x:v>0</x:v>
      </x:c>
      <x:c r="I33" s="20" t="n">
        <x:v>0</x:v>
      </x:c>
      <x:c r="J33" s="20" t="n">
        <x:v>0</x:v>
      </x:c>
      <x:c r="K33" s="20" t="n">
        <x:v>0</x:v>
      </x:c>
      <x:c r="L33" s="20" t="str">
        <x:v>1151838357</x:v>
      </x:c>
    </x:row>
    <x:row r="34" ht="44" customHeight="1">
      <x:c r="A34" s="20" t="str">
        <x:v>navid-kermani-a12018e89f</x:v>
      </x:c>
      <x:c r="B34" s="20" t="str">
        <x:v>Navid Kermani</x:v>
      </x:c>
      <x:c r="C34" s="20" t="str">
        <x:v>[Morgen ist da] ; Tomorrow is here : speeches</x:v>
      </x:c>
      <x:c r="D34" s="20" t="n">
        <x:v>1</x:v>
      </x:c>
      <x:c r="E34" s="36" t="str">
        <x:v>AUTO_EXCLUDE_NON_GERMAN</x:v>
      </x:c>
      <x:c r="F34" s="20" t="str">
        <x:v>All records are non-German publications.</x:v>
      </x:c>
      <x:c r="G34" s="20" t="str">
        <x:v>eng</x:v>
      </x:c>
      <x:c r="H34" s="20" t="n">
        <x:v>0</x:v>
      </x:c>
      <x:c r="I34" s="20" t="n">
        <x:v>0</x:v>
      </x:c>
      <x:c r="J34" s="20" t="n">
        <x:v>1</x:v>
      </x:c>
      <x:c r="K34" s="20" t="n">
        <x:v>0</x:v>
      </x:c>
      <x:c r="L34" s="20" t="str">
        <x:v>1294331337</x:v>
      </x:c>
    </x:row>
    <x:row r="35" ht="44" customHeight="1">
      <x:c r="A35" s="20" t="str">
        <x:v>navid-kermani-4e205f5a7d</x:v>
      </x:c>
      <x:c r="B35" s="20" t="str">
        <x:v>Navid Kermani</x:v>
      </x:c>
      <x:c r="C35" s="20" t="str">
        <x:v>[Sozusagen Paris] ; Christian Brückner liest Sozusagen Paris</x:v>
      </x:c>
      <x:c r="D35" s="20" t="n">
        <x:v>1</x:v>
      </x:c>
      <x:c r="E35" s="35" t="str">
        <x:v>CORE_FOR_WORK_CLUSTERING</x:v>
      </x:c>
      <x:c r="F35" s="20" t="str">
        <x:v>At least one German literary record without translation evidence.</x:v>
      </x:c>
      <x:c r="G35" s="20" t="str">
        <x:v>ger</x:v>
      </x:c>
      <x:c r="H35" s="20" t="n">
        <x:v>1</x:v>
      </x:c>
      <x:c r="I35" s="20" t="n">
        <x:v>1</x:v>
      </x:c>
      <x:c r="J35" s="20" t="n">
        <x:v>0</x:v>
      </x:c>
      <x:c r="K35" s="20" t="n">
        <x:v>1</x:v>
      </x:c>
      <x:c r="L35" s="20" t="str">
        <x:v>114815227X</x:v>
      </x:c>
    </x:row>
    <x:row r="36" ht="44" customHeight="1">
      <x:c r="A36" s="20" t="str">
        <x:v>navid-kermani-174abe0cf0</x:v>
      </x:c>
      <x:c r="B36" s="20" t="str">
        <x:v>Navid Kermani</x:v>
      </x:c>
      <x:c r="C36" s="20" t="str">
        <x:v>[Was jetzt möglich ist] ; What is possible now : 33 political situations</x:v>
      </x:c>
      <x:c r="D36" s="20" t="n">
        <x:v>1</x:v>
      </x:c>
      <x:c r="E36" s="36" t="str">
        <x:v>AUTO_EXCLUDE_NON_GERMAN</x:v>
      </x:c>
      <x:c r="F36" s="20" t="str">
        <x:v>All records are non-German publications.</x:v>
      </x:c>
      <x:c r="G36" s="20" t="str">
        <x:v>eng</x:v>
      </x:c>
      <x:c r="H36" s="20" t="n">
        <x:v>0</x:v>
      </x:c>
      <x:c r="I36" s="20" t="n">
        <x:v>0</x:v>
      </x:c>
      <x:c r="J36" s="20" t="n">
        <x:v>0</x:v>
      </x:c>
      <x:c r="K36" s="20" t="n">
        <x:v>0</x:v>
      </x:c>
      <x:c r="L36" s="20" t="str">
        <x:v>1315520583</x:v>
      </x:c>
    </x:row>
    <x:row r="37" ht="44" customHeight="1">
      <x:c r="A37" s="20" t="str">
        <x:v>navid-kermani-5a16bbdc41</x:v>
      </x:c>
      <x:c r="B37" s="20" t="str">
        <x:v>Navid Kermani</x:v>
      </x:c>
      <x:c r="C37" s="20" t="str">
        <x:v>[Zwischen Koran und Kafka] ; Between Quran and Kafka : West-Eastern affinities</x:v>
      </x:c>
      <x:c r="D37" s="20" t="n">
        <x:v>1</x:v>
      </x:c>
      <x:c r="E37" s="36" t="str">
        <x:v>AUTO_EXCLUDE_NON_GERMAN</x:v>
      </x:c>
      <x:c r="F37" s="20" t="str">
        <x:v>All records are non-German publications.</x:v>
      </x:c>
      <x:c r="G37" s="20" t="str">
        <x:v>eng</x:v>
      </x:c>
      <x:c r="H37" s="20" t="n">
        <x:v>1</x:v>
      </x:c>
      <x:c r="I37" s="20" t="n">
        <x:v>0</x:v>
      </x:c>
      <x:c r="J37" s="20" t="n">
        <x:v>0</x:v>
      </x:c>
      <x:c r="K37" s="20" t="n">
        <x:v>0</x:v>
      </x:c>
      <x:c r="L37" s="20" t="str">
        <x:v>1101716649</x:v>
      </x:c>
    </x:row>
    <x:row r="38" ht="44" customHeight="1">
      <x:c r="A38" s="20" t="str">
        <x:v>navid-kermani-536183f831</x:v>
      </x:c>
      <x:c r="B38" s="20" t="str">
        <x:v>Navid Kermani</x:v>
      </x:c>
      <x:c r="C38" s="20" t="str">
        <x:v>Album</x:v>
      </x:c>
      <x:c r="D38" s="20" t="n">
        <x:v>1</x:v>
      </x:c>
      <x:c r="E38" s="35" t="str">
        <x:v>CORE_FOR_WORK_CLUSTERING</x:v>
      </x:c>
      <x:c r="F38" s="20" t="str">
        <x:v>At least one German literary record without translation evidence.</x:v>
      </x:c>
      <x:c r="G38" s="20" t="str">
        <x:v>ger</x:v>
      </x:c>
      <x:c r="H38" s="20" t="n">
        <x:v>1</x:v>
      </x:c>
      <x:c r="I38" s="20" t="n">
        <x:v>1</x:v>
      </x:c>
      <x:c r="J38" s="20" t="n">
        <x:v>0</x:v>
      </x:c>
      <x:c r="K38" s="20" t="n">
        <x:v>1</x:v>
      </x:c>
      <x:c r="L38" s="20" t="str">
        <x:v>1051000807</x:v>
      </x:c>
    </x:row>
    <x:row r="39" ht="44" customHeight="1">
      <x:c r="A39" s="20" t="str">
        <x:v>navid-kermani-0f4c58988e</x:v>
      </x:c>
      <x:c r="B39" s="20" t="str">
        <x:v>Navid Kermani</x:v>
      </x:c>
      <x:c r="C39" s="20" t="str">
        <x:v>Album : Das Buch der von Neil Young getöteten. Vierzig Leben. Du sollst. Kurzmitteilung</x:v>
      </x:c>
      <x:c r="D39" s="20" t="n">
        <x:v>1</x:v>
      </x:c>
      <x:c r="E39" s="35" t="str">
        <x:v>CORE_FOR_WORK_CLUSTERING</x:v>
      </x:c>
      <x:c r="F39" s="20" t="str">
        <x:v>At least one German literary record without translation evidence.</x:v>
      </x:c>
      <x:c r="G39" s="20" t="str">
        <x:v>ger</x:v>
      </x:c>
      <x:c r="H39" s="20" t="n">
        <x:v>1</x:v>
      </x:c>
      <x:c r="I39" s="20" t="n">
        <x:v>1</x:v>
      </x:c>
      <x:c r="J39" s="20" t="n">
        <x:v>0</x:v>
      </x:c>
      <x:c r="K39" s="20" t="n">
        <x:v>1</x:v>
      </x:c>
      <x:c r="L39" s="20" t="str">
        <x:v>1056858745</x:v>
      </x:c>
    </x:row>
    <x:row r="40" ht="44" customHeight="1">
      <x:c r="A40" s="20" t="str">
        <x:v>navid-kermani-8000f78ef2</x:v>
      </x:c>
      <x:c r="B40" s="20" t="str">
        <x:v>Navid Kermani</x:v>
      </x:c>
      <x:c r="C40" s="20" t="str">
        <x:v>Auf den Spuren der Muslime : mein Leben zwischen den Kulturen</x:v>
      </x:c>
      <x:c r="D40" s="20" t="n">
        <x:v>1</x:v>
      </x:c>
      <x:c r="E40" s="36" t="str">
        <x:v>AUTO_EXCLUDE_NON_LITERARY</x:v>
      </x:c>
      <x:c r="F40" s="20" t="str">
        <x:v>German record(s), but no stated literary subject or genre signal.</x:v>
      </x:c>
      <x:c r="G40" s="20" t="str">
        <x:v>ger</x:v>
      </x:c>
      <x:c r="H40" s="20" t="n">
        <x:v>0</x:v>
      </x:c>
      <x:c r="I40" s="20" t="n">
        <x:v>1</x:v>
      </x:c>
      <x:c r="J40" s="20" t="n">
        <x:v>0</x:v>
      </x:c>
      <x:c r="K40" s="20" t="n">
        <x:v>0</x:v>
      </x:c>
      <x:c r="L40" s="20" t="str">
        <x:v>965428087</x:v>
      </x:c>
    </x:row>
    <x:row r="41" ht="44" customHeight="1">
      <x:c r="A41" s="20" t="str">
        <x:v>navid-kermani-980368148f</x:v>
      </x:c>
      <x:c r="B41" s="20" t="str">
        <x:v>Navid Kermani</x:v>
      </x:c>
      <x:c r="C41" s="20" t="str">
        <x:v>Ausnahmezustand : Reisen in eine beunruhigte Welt</x:v>
      </x:c>
      <x:c r="D41" s="20" t="n">
        <x:v>7</x:v>
      </x:c>
      <x:c r="E41" s="36" t="str">
        <x:v>AUTO_EXCLUDE_NON_LITERARY</x:v>
      </x:c>
      <x:c r="F41" s="20" t="str">
        <x:v>German record(s), but no stated literary subject or genre signal.</x:v>
      </x:c>
      <x:c r="G41" s="20" t="str">
        <x:v>ger</x:v>
      </x:c>
      <x:c r="H41" s="20" t="n">
        <x:v>0</x:v>
      </x:c>
      <x:c r="I41" s="20" t="n">
        <x:v>7</x:v>
      </x:c>
      <x:c r="J41" s="20" t="n">
        <x:v>0</x:v>
      </x:c>
      <x:c r="K41" s="20" t="n">
        <x:v>0</x:v>
      </x:c>
      <x:c r="L41" s="20" t="str">
        <x:v>1069549193 | 1078265534 | 1026057949 | 1036143880 | 1042647186 | 1045654418 | 1118416317</x:v>
      </x:c>
    </x:row>
    <x:row r="42" ht="44" customHeight="1">
      <x:c r="A42" s="20" t="str">
        <x:v>navid-kermani-bdd8a36101</x:v>
      </x:c>
      <x:c r="B42" s="20" t="str">
        <x:v>Navid Kermani</x:v>
      </x:c>
      <x:c r="C42" s="20" t="str">
        <x:v>Ayda, Bär und Hase</x:v>
      </x:c>
      <x:c r="D42" s="20" t="n">
        <x:v>6</x:v>
      </x:c>
      <x:c r="E42" s="35" t="str">
        <x:v>CORE_FOR_WORK_CLUSTERING</x:v>
      </x:c>
      <x:c r="F42" s="20" t="str">
        <x:v>At least one German literary record without translation evidence.</x:v>
      </x:c>
      <x:c r="G42" s="20" t="str">
        <x:v>ger</x:v>
      </x:c>
      <x:c r="H42" s="20" t="n">
        <x:v>6</x:v>
      </x:c>
      <x:c r="I42" s="20" t="n">
        <x:v>6</x:v>
      </x:c>
      <x:c r="J42" s="20" t="n">
        <x:v>0</x:v>
      </x:c>
      <x:c r="K42" s="20" t="n">
        <x:v>6</x:v>
      </x:c>
      <x:c r="L42" s="20" t="str">
        <x:v>1156669510 | 115032869X | 1122918283 | 1117481131 | 1119466849 | 977646696</x:v>
      </x:c>
    </x:row>
    <x:row r="43" ht="44" customHeight="1">
      <x:c r="A43" s="20" t="str">
        <x:v>navid-kermani-f1c4e69295</x:v>
      </x:c>
      <x:c r="B43" s="20" t="str">
        <x:v>Navid Kermani</x:v>
      </x:c>
      <x:c r="C43" s="20" t="str">
        <x:v>Balāghat al-nūr : jamālīyāt al-naṣṣ al-qurʼānī</x:v>
      </x:c>
      <x:c r="D43" s="20" t="n">
        <x:v>1</x:v>
      </x:c>
      <x:c r="E43" s="36" t="str">
        <x:v>AUTO_EXCLUDE_NON_GERMAN</x:v>
      </x:c>
      <x:c r="F43" s="20" t="str">
        <x:v>All records are non-German publications.</x:v>
      </x:c>
      <x:c r="G43" s="20" t="str">
        <x:v>ara</x:v>
      </x:c>
      <x:c r="H43" s="20" t="n">
        <x:v>0</x:v>
      </x:c>
      <x:c r="I43" s="20" t="n">
        <x:v>0</x:v>
      </x:c>
      <x:c r="J43" s="20" t="n">
        <x:v>0</x:v>
      </x:c>
      <x:c r="K43" s="20" t="n">
        <x:v>0</x:v>
      </x:c>
      <x:c r="L43" s="20" t="str">
        <x:v>99161819X</x:v>
      </x:c>
    </x:row>
    <x:row r="44" ht="44" customHeight="1">
      <x:c r="A44" s="20" t="str">
        <x:v>navid-kermani-33094780ab</x:v>
      </x:c>
      <x:c r="B44" s="20" t="str">
        <x:v>Navid Kermani</x:v>
      </x:c>
      <x:c r="C44" s="20" t="str">
        <x:v>Between Quran and Kafka : West-Eastern Affinities</x:v>
      </x:c>
      <x:c r="D44" s="20" t="n">
        <x:v>3</x:v>
      </x:c>
      <x:c r="E44" s="36" t="str">
        <x:v>AUTO_EXCLUDE_NON_GERMAN</x:v>
      </x:c>
      <x:c r="F44" s="20" t="str">
        <x:v>All records are non-German publications.</x:v>
      </x:c>
      <x:c r="G44" s="20" t="str">
        <x:v>eng</x:v>
      </x:c>
      <x:c r="H44" s="20" t="n">
        <x:v>2</x:v>
      </x:c>
      <x:c r="I44" s="20" t="n">
        <x:v>0</x:v>
      </x:c>
      <x:c r="J44" s="20" t="n">
        <x:v>0</x:v>
      </x:c>
      <x:c r="K44" s="20" t="n">
        <x:v>0</x:v>
      </x:c>
      <x:c r="L44" s="20" t="str">
        <x:v>1162190558 | 1101790881 | 1127138448</x:v>
      </x:c>
    </x:row>
    <x:row r="45" ht="44" customHeight="1">
      <x:c r="A45" s="20" t="str">
        <x:v>navid-kermani-4de89603bb</x:v>
      </x:c>
      <x:c r="B45" s="20" t="str">
        <x:v>Navid Kermani</x:v>
      </x:c>
      <x:c r="C45" s="20" t="str">
        <x:v>Das Alphabet bis S</x:v>
      </x:c>
      <x:c r="D45" s="20" t="n">
        <x:v>2</x:v>
      </x:c>
      <x:c r="E45" s="35" t="str">
        <x:v>CORE_FOR_WORK_CLUSTERING</x:v>
      </x:c>
      <x:c r="F45" s="20" t="str">
        <x:v>At least one German literary record without translation evidence.</x:v>
      </x:c>
      <x:c r="G45" s="20" t="str">
        <x:v>ger</x:v>
      </x:c>
      <x:c r="H45" s="20" t="n">
        <x:v>2</x:v>
      </x:c>
      <x:c r="I45" s="20" t="n">
        <x:v>2</x:v>
      </x:c>
      <x:c r="J45" s="20" t="n">
        <x:v>0</x:v>
      </x:c>
      <x:c r="K45" s="20" t="n">
        <x:v>2</x:v>
      </x:c>
      <x:c r="L45" s="20" t="str">
        <x:v>1369580312 | 1286428718</x:v>
      </x:c>
    </x:row>
    <x:row r="46" ht="44" customHeight="1">
      <x:c r="A46" s="20" t="str">
        <x:v>navid-kermani-8d1bf6ee95</x:v>
      </x:c>
      <x:c r="B46" s="20" t="str">
        <x:v>Navid Kermani</x:v>
      </x:c>
      <x:c r="C46" s="20" t="str">
        <x:v>Das Alphabet bis S : Roman</x:v>
      </x:c>
      <x:c r="D46" s="20" t="n">
        <x:v>3</x:v>
      </x:c>
      <x:c r="E46" s="35" t="str">
        <x:v>CORE_FOR_WORK_CLUSTERING</x:v>
      </x:c>
      <x:c r="F46" s="20" t="str">
        <x:v>At least one German literary record without translation evidence.</x:v>
      </x:c>
      <x:c r="G46" s="20" t="str">
        <x:v>ger</x:v>
      </x:c>
      <x:c r="H46" s="20" t="n">
        <x:v>3</x:v>
      </x:c>
      <x:c r="I46" s="20" t="n">
        <x:v>3</x:v>
      </x:c>
      <x:c r="J46" s="20" t="n">
        <x:v>0</x:v>
      </x:c>
      <x:c r="K46" s="20" t="n">
        <x:v>3</x:v>
      </x:c>
      <x:c r="L46" s="20" t="str">
        <x:v>1345216343 | 1297631552 | 1284417336</x:v>
      </x:c>
    </x:row>
    <x:row r="47" ht="44" customHeight="1">
      <x:c r="A47" s="20" t="str">
        <x:v>navid-kermani-f256c8417c</x:v>
      </x:c>
      <x:c r="B47" s="20" t="str">
        <x:v>Navid Kermani</x:v>
      </x:c>
      <x:c r="C47" s="20" t="str">
        <x:v>Das Buch der von Neil Young Getöteten</x:v>
      </x:c>
      <x:c r="D47" s="20" t="n">
        <x:v>3</x:v>
      </x:c>
      <x:c r="E47" s="35" t="str">
        <x:v>CORE_FOR_WORK_CLUSTERING</x:v>
      </x:c>
      <x:c r="F47" s="20" t="str">
        <x:v>At least one German literary record without translation evidence.</x:v>
      </x:c>
      <x:c r="G47" s="20" t="str">
        <x:v>ger</x:v>
      </x:c>
      <x:c r="H47" s="20" t="n">
        <x:v>3</x:v>
      </x:c>
      <x:c r="I47" s="20" t="n">
        <x:v>3</x:v>
      </x:c>
      <x:c r="J47" s="20" t="n">
        <x:v>0</x:v>
      </x:c>
      <x:c r="K47" s="20" t="n">
        <x:v>3</x:v>
      </x:c>
      <x:c r="L47" s="20" t="str">
        <x:v>1034226401 | 971284814 | 965193144</x:v>
      </x:c>
    </x:row>
    <x:row r="48" ht="44" customHeight="1">
      <x:c r="A48" s="20" t="str">
        <x:v>navid-kermani-946f6b4f7e</x:v>
      </x:c>
      <x:c r="B48" s="20" t="str">
        <x:v>Navid Kermani</x:v>
      </x:c>
      <x:c r="C48" s="20" t="str">
        <x:v>Das generische Maskulinum : eine Diskussion anlässlich der Verleihung der Ehrendoktorwürde an Navid Kermani an der Universität Siegen</x:v>
      </x:c>
      <x:c r="D48" s="20" t="n">
        <x:v>1</x:v>
      </x:c>
      <x:c r="E48" s="36" t="str">
        <x:v>AUTO_EXCLUDE_NON_LITERARY</x:v>
      </x:c>
      <x:c r="F48" s="20" t="str">
        <x:v>German record(s), but no stated literary subject or genre signal.</x:v>
      </x:c>
      <x:c r="G48" s="20" t="str">
        <x:v>ger</x:v>
      </x:c>
      <x:c r="H48" s="20" t="n">
        <x:v>0</x:v>
      </x:c>
      <x:c r="I48" s="20" t="n">
        <x:v>1</x:v>
      </x:c>
      <x:c r="J48" s="20" t="n">
        <x:v>0</x:v>
      </x:c>
      <x:c r="K48" s="20" t="n">
        <x:v>0</x:v>
      </x:c>
      <x:c r="L48" s="20" t="str">
        <x:v>1333457766</x:v>
      </x:c>
    </x:row>
    <x:row r="49" ht="44" customHeight="1">
      <x:c r="A49" s="20" t="str">
        <x:v>navid-kermani-938723d179</x:v>
      </x:c>
      <x:c r="B49" s="20" t="str">
        <x:v>Navid Kermani</x:v>
      </x:c>
      <x:c r="C49" s="20" t="str">
        <x:v>Das generische Maskulinum : Eine Diskussion anlässlich der Verleihung der Ehrendoktowürde an Navid Kermani an der Universität Siegen</x:v>
      </x:c>
      <x:c r="D49" s="20" t="n">
        <x:v>1</x:v>
      </x:c>
      <x:c r="E49" s="36" t="str">
        <x:v>AUTO_EXCLUDE_NON_LITERARY</x:v>
      </x:c>
      <x:c r="F49" s="20" t="str">
        <x:v>German record(s), but no stated literary subject or genre signal.</x:v>
      </x:c>
      <x:c r="G49" s="20" t="str">
        <x:v>ger</x:v>
      </x:c>
      <x:c r="H49" s="20" t="n">
        <x:v>0</x:v>
      </x:c>
      <x:c r="I49" s="20" t="n">
        <x:v>1</x:v>
      </x:c>
      <x:c r="J49" s="20" t="n">
        <x:v>0</x:v>
      </x:c>
      <x:c r="K49" s="20" t="n">
        <x:v>0</x:v>
      </x:c>
      <x:c r="L49" s="20" t="str">
        <x:v>1331961823</x:v>
      </x:c>
    </x:row>
    <x:row r="50" ht="44" customHeight="1">
      <x:c r="A50" s="20" t="str">
        <x:v>navid-kermani-b2bd62b6bf</x:v>
      </x:c>
      <x:c r="B50" s="20" t="str">
        <x:v>Navid Kermani</x:v>
      </x:c>
      <x:c r="C50" s="20" t="str">
        <x:v>Dein Name</x:v>
      </x:c>
      <x:c r="D50" s="20" t="n">
        <x:v>1</x:v>
      </x:c>
      <x:c r="E50" s="35" t="str">
        <x:v>CORE_FOR_WORK_CLUSTERING</x:v>
      </x:c>
      <x:c r="F50" s="20" t="str">
        <x:v>At least one German literary record without translation evidence.</x:v>
      </x:c>
      <x:c r="G50" s="20" t="str">
        <x:v>ger</x:v>
      </x:c>
      <x:c r="H50" s="20" t="n">
        <x:v>1</x:v>
      </x:c>
      <x:c r="I50" s="20" t="n">
        <x:v>1</x:v>
      </x:c>
      <x:c r="J50" s="20" t="n">
        <x:v>0</x:v>
      </x:c>
      <x:c r="K50" s="20" t="n">
        <x:v>1</x:v>
      </x:c>
      <x:c r="L50" s="20" t="str">
        <x:v>102000987X</x:v>
      </x:c>
    </x:row>
    <x:row r="51" ht="44" customHeight="1">
      <x:c r="A51" s="20" t="str">
        <x:v>navid-kermani-c6a7a965a1</x:v>
      </x:c>
      <x:c r="B51" s="20" t="str">
        <x:v>Navid Kermani</x:v>
      </x:c>
      <x:c r="C51" s="20" t="str">
        <x:v>Dein Name : Roman</x:v>
      </x:c>
      <x:c r="D51" s="20" t="n">
        <x:v>3</x:v>
      </x:c>
      <x:c r="E51" s="35" t="str">
        <x:v>CORE_FOR_WORK_CLUSTERING</x:v>
      </x:c>
      <x:c r="F51" s="20" t="str">
        <x:v>At least one German literary record without translation evidence.</x:v>
      </x:c>
      <x:c r="G51" s="20" t="str">
        <x:v>ger</x:v>
      </x:c>
      <x:c r="H51" s="20" t="n">
        <x:v>3</x:v>
      </x:c>
      <x:c r="I51" s="20" t="n">
        <x:v>3</x:v>
      </x:c>
      <x:c r="J51" s="20" t="n">
        <x:v>0</x:v>
      </x:c>
      <x:c r="K51" s="20" t="n">
        <x:v>3</x:v>
      </x:c>
      <x:c r="L51" s="20" t="str">
        <x:v>1061000885 | 1043990771 | 1011238136</x:v>
      </x:c>
    </x:row>
    <x:row r="52" ht="44" customHeight="1">
      <x:c r="A52" s="20" t="str">
        <x:v>navid-kermani-dc5b46c777</x:v>
      </x:c>
      <x:c r="B52" s="20" t="str">
        <x:v>Navid Kermani</x:v>
      </x:c>
      <x:c r="C52" s="20" t="str">
        <x:v>Der fremde Blick - Roberto Ciulli und das Theater an der Ruhr : Gespräche, Texte, Fotos, Material</x:v>
      </x:c>
      <x:c r="D52" s="20" t="n">
        <x:v>1</x:v>
      </x:c>
      <x:c r="E52" s="36" t="str">
        <x:v>AUTO_EXCLUDE_NON_LITERARY</x:v>
      </x:c>
      <x:c r="F52" s="20" t="str">
        <x:v>German record(s), but no stated literary subject or genre signal.</x:v>
      </x:c>
      <x:c r="G52" s="20" t="str">
        <x:v>ger</x:v>
      </x:c>
      <x:c r="H52" s="20" t="n">
        <x:v>0</x:v>
      </x:c>
      <x:c r="I52" s="20" t="n">
        <x:v>1</x:v>
      </x:c>
      <x:c r="J52" s="20" t="n">
        <x:v>0</x:v>
      </x:c>
      <x:c r="K52" s="20" t="n">
        <x:v>0</x:v>
      </x:c>
      <x:c r="L52" s="20" t="str">
        <x:v>121426249X</x:v>
      </x:c>
    </x:row>
    <x:row r="53" ht="44" customHeight="1">
      <x:c r="A53" s="20" t="str">
        <x:v>navid-kermani-702da0a609</x:v>
      </x:c>
      <x:c r="B53" s="20" t="str">
        <x:v>Navid Kermani</x:v>
      </x:c>
      <x:c r="C53" s="20" t="str">
        <x:v>Der Schrecken Gottes : Attar, Hiob und die metaphysische Revolte</x:v>
      </x:c>
      <x:c r="D53" s="20" t="n">
        <x:v>4</x:v>
      </x:c>
      <x:c r="E53" s="36" t="str">
        <x:v>AUTO_EXCLUDE_NON_LITERARY</x:v>
      </x:c>
      <x:c r="F53" s="20" t="str">
        <x:v>German record(s), but no stated literary subject or genre signal.</x:v>
      </x:c>
      <x:c r="G53" s="20" t="str">
        <x:v>ger</x:v>
      </x:c>
      <x:c r="H53" s="20" t="n">
        <x:v>0</x:v>
      </x:c>
      <x:c r="I53" s="20" t="n">
        <x:v>4</x:v>
      </x:c>
      <x:c r="J53" s="20" t="n">
        <x:v>0</x:v>
      </x:c>
      <x:c r="K53" s="20" t="n">
        <x:v>0</x:v>
      </x:c>
      <x:c r="L53" s="20" t="str">
        <x:v>1010890166 | 1049966546 | 986880345 | 974400246</x:v>
      </x:c>
    </x:row>
    <x:row r="54" ht="44" customHeight="1">
      <x:c r="A54" s="20" t="str">
        <x:v>navid-kermani-91f2d0973f</x:v>
      </x:c>
      <x:c r="B54" s="20" t="str">
        <x:v>Navid Kermani</x:v>
      </x:c>
      <x:c r="C54" s="20" t="str">
        <x:v>Die Bibel. Das Projekt</x:v>
      </x:c>
      <x:c r="D54" s="20" t="n">
        <x:v>1</x:v>
      </x:c>
      <x:c r="E54" s="35" t="str">
        <x:v>CORE_FOR_WORK_CLUSTERING</x:v>
      </x:c>
      <x:c r="F54" s="20" t="str">
        <x:v>At least one German literary record without translation evidence.</x:v>
      </x:c>
      <x:c r="G54" s="20" t="str">
        <x:v>ger</x:v>
      </x:c>
      <x:c r="H54" s="20" t="n">
        <x:v>1</x:v>
      </x:c>
      <x:c r="I54" s="20" t="n">
        <x:v>1</x:v>
      </x:c>
      <x:c r="J54" s="20" t="n">
        <x:v>0</x:v>
      </x:c>
      <x:c r="K54" s="20" t="n">
        <x:v>1</x:v>
      </x:c>
      <x:c r="L54" s="20" t="str">
        <x:v>1113593733</x:v>
      </x:c>
    </x:row>
    <x:row r="55" ht="44" customHeight="1">
      <x:c r="A55" s="20" t="str">
        <x:v>navid-kermani-fef8b38a74</x:v>
      </x:c>
      <x:c r="B55" s="20" t="str">
        <x:v>Navid Kermani</x:v>
      </x:c>
      <x:c r="C55" s="20" t="str">
        <x:v>Die Bibel. Das Projekt : zeitgenössische Schriftsteller und Künstler erschaffen ein Kaleidoskop akustischer Formen : inszenierte Lesungen, Hörspiele, Collagen, musikalische Hörstücke u.v.m</x:v>
      </x:c>
      <x:c r="D55" s="20" t="n">
        <x:v>2</x:v>
      </x:c>
      <x:c r="E55" s="35" t="str">
        <x:v>CORE_FOR_WORK_CLUSTERING</x:v>
      </x:c>
      <x:c r="F55" s="20" t="str">
        <x:v>At least one German literary record without translation evidence.</x:v>
      </x:c>
      <x:c r="G55" s="20" t="str">
        <x:v>ger</x:v>
      </x:c>
      <x:c r="H55" s="20" t="n">
        <x:v>2</x:v>
      </x:c>
      <x:c r="I55" s="20" t="n">
        <x:v>2</x:v>
      </x:c>
      <x:c r="J55" s="20" t="n">
        <x:v>0</x:v>
      </x:c>
      <x:c r="K55" s="20" t="n">
        <x:v>2</x:v>
      </x:c>
      <x:c r="L55" s="20" t="str">
        <x:v>114983868X | 1098327357</x:v>
      </x:c>
    </x:row>
    <x:row r="56" ht="44" customHeight="1">
      <x:c r="A56" s="20" t="str">
        <x:v>navid-kermani-e4e5d43aed</x:v>
      </x:c>
      <x:c r="B56" s="20" t="str">
        <x:v>Navid Kermani</x:v>
      </x:c>
      <x:c r="C56" s="20" t="str">
        <x:v>Du sollst</x:v>
      </x:c>
      <x:c r="D56" s="20" t="n">
        <x:v>3</x:v>
      </x:c>
      <x:c r="E56" s="35" t="str">
        <x:v>CORE_FOR_WORK_CLUSTERING</x:v>
      </x:c>
      <x:c r="F56" s="20" t="str">
        <x:v>At least one German literary record without translation evidence.</x:v>
      </x:c>
      <x:c r="G56" s="20" t="str">
        <x:v>ger | ger | ita</x:v>
      </x:c>
      <x:c r="H56" s="20" t="n">
        <x:v>3</x:v>
      </x:c>
      <x:c r="I56" s="20" t="n">
        <x:v>3</x:v>
      </x:c>
      <x:c r="J56" s="20" t="n">
        <x:v>0</x:v>
      </x:c>
      <x:c r="K56" s="20" t="n">
        <x:v>3</x:v>
      </x:c>
      <x:c r="L56" s="20" t="str">
        <x:v>1056859113 | 1014637937 | 973193301</x:v>
      </x:c>
    </x:row>
    <x:row r="57" ht="44" customHeight="1">
      <x:c r="A57" s="20" t="str">
        <x:v>navid-kermani-e1f7701c59</x:v>
      </x:c>
      <x:c r="B57" s="20" t="str">
        <x:v>Navid Kermani</x:v>
      </x:c>
      <x:c r="C57" s="20" t="str">
        <x:v>Dynamit des Geistes : Martyrium, Islam und Nihilismus</x:v>
      </x:c>
      <x:c r="D57" s="20" t="n">
        <x:v>3</x:v>
      </x:c>
      <x:c r="E57" s="35" t="str">
        <x:v>CORE_FOR_WORK_CLUSTERING</x:v>
      </x:c>
      <x:c r="F57" s="20" t="str">
        <x:v>At least one German literary record without translation evidence.</x:v>
      </x:c>
      <x:c r="G57" s="20" t="str">
        <x:v>ger</x:v>
      </x:c>
      <x:c r="H57" s="20" t="n">
        <x:v>1</x:v>
      </x:c>
      <x:c r="I57" s="20" t="n">
        <x:v>3</x:v>
      </x:c>
      <x:c r="J57" s="20" t="n">
        <x:v>0</x:v>
      </x:c>
      <x:c r="K57" s="20" t="n">
        <x:v>1</x:v>
      </x:c>
      <x:c r="L57" s="20" t="str">
        <x:v>1070628123 | 1037826469 | 964361809</x:v>
      </x:c>
    </x:row>
    <x:row r="58" ht="44" customHeight="1">
      <x:c r="A58" s="20" t="str">
        <x:v>navid-kermani-7bdd4a58c3</x:v>
      </x:c>
      <x:c r="B58" s="20" t="str">
        <x:v>Navid Kermani</x:v>
      </x:c>
      <x:c r="C58" s="20" t="str">
        <x:v>Einbruch der Wirklichkeit : auf dem Flüchtlingstreck durch Europa</x:v>
      </x:c>
      <x:c r="D58" s="20" t="n">
        <x:v>3</x:v>
      </x:c>
      <x:c r="E58" s="36" t="str">
        <x:v>AUTO_EXCLUDE_NON_LITERARY</x:v>
      </x:c>
      <x:c r="F58" s="20" t="str">
        <x:v>German record(s), but no stated literary subject or genre signal.</x:v>
      </x:c>
      <x:c r="G58" s="20" t="str">
        <x:v>ger</x:v>
      </x:c>
      <x:c r="H58" s="20" t="n">
        <x:v>0</x:v>
      </x:c>
      <x:c r="I58" s="20" t="n">
        <x:v>3</x:v>
      </x:c>
      <x:c r="J58" s="20" t="n">
        <x:v>0</x:v>
      </x:c>
      <x:c r="K58" s="20" t="n">
        <x:v>0</x:v>
      </x:c>
      <x:c r="L58" s="20" t="str">
        <x:v>1080498982 | 1090902999 | 1115192175</x:v>
      </x:c>
    </x:row>
    <x:row r="59" ht="44" customHeight="1">
      <x:c r="A59" s="20" t="str">
        <x:v>navid-kermani-60dfd10ea8</x:v>
      </x:c>
      <x:c r="B59" s="20" t="str">
        <x:v>Navid Kermani</x:v>
      </x:c>
      <x:c r="C59" s="20" t="str">
        <x:v>Entlang den Gräben : Eine Reise durch das östliche Europa bis nach Isfahan</x:v>
      </x:c>
      <x:c r="D59" s="20" t="n">
        <x:v>4</x:v>
      </x:c>
      <x:c r="E59" s="36" t="str">
        <x:v>AUTO_EXCLUDE_NON_LITERARY</x:v>
      </x:c>
      <x:c r="F59" s="20" t="str">
        <x:v>German record(s), but no stated literary subject or genre signal.</x:v>
      </x:c>
      <x:c r="G59" s="20" t="str">
        <x:v>ger</x:v>
      </x:c>
      <x:c r="H59" s="20" t="n">
        <x:v>0</x:v>
      </x:c>
      <x:c r="I59" s="20" t="n">
        <x:v>4</x:v>
      </x:c>
      <x:c r="J59" s="20" t="n">
        <x:v>0</x:v>
      </x:c>
      <x:c r="K59" s="20" t="n">
        <x:v>0</x:v>
      </x:c>
      <x:c r="L59" s="20" t="str">
        <x:v>1284868133 | 1198426853 | 1156281296 | 1129469263</x:v>
      </x:c>
    </x:row>
    <x:row r="60" ht="44" customHeight="1">
      <x:c r="A60" s="20" t="str">
        <x:v>navid-kermani-e993643a93</x:v>
      </x:c>
      <x:c r="B60" s="20" t="str">
        <x:v>Navid Kermani</x:v>
      </x:c>
      <x:c r="C60" s="20" t="str">
        <x:v>God is beautiful : the aesthetic experience of the Quran</x:v>
      </x:c>
      <x:c r="D60" s="20" t="n">
        <x:v>1</x:v>
      </x:c>
      <x:c r="E60" s="36" t="str">
        <x:v>AUTO_EXCLUDE_NON_GERMAN</x:v>
      </x:c>
      <x:c r="F60" s="20" t="str">
        <x:v>All records are non-German publications.</x:v>
      </x:c>
      <x:c r="G60" s="20" t="str">
        <x:v>eng</x:v>
      </x:c>
      <x:c r="H60" s="20" t="n">
        <x:v>0</x:v>
      </x:c>
      <x:c r="I60" s="20" t="n">
        <x:v>0</x:v>
      </x:c>
      <x:c r="J60" s="20" t="n">
        <x:v>0</x:v>
      </x:c>
      <x:c r="K60" s="20" t="n">
        <x:v>0</x:v>
      </x:c>
      <x:c r="L60" s="20" t="str">
        <x:v>1067338152</x:v>
      </x:c>
    </x:row>
    <x:row r="61" ht="44" customHeight="1">
      <x:c r="A61" s="20" t="str">
        <x:v>navid-kermani-2e113e93c8</x:v>
      </x:c>
      <x:c r="B61" s="20" t="str">
        <x:v>Navid Kermani</x:v>
      </x:c>
      <x:c r="C61" s="20" t="str">
        <x:v>Gott ist schön : das ästhetische Erleben des Koran</x:v>
      </x:c>
      <x:c r="D61" s="20" t="n">
        <x:v>7</x:v>
      </x:c>
      <x:c r="E61" s="36" t="str">
        <x:v>AUTO_EXCLUDE_NON_LITERARY</x:v>
      </x:c>
      <x:c r="F61" s="20" t="str">
        <x:v>German record(s), but no stated literary subject or genre signal.</x:v>
      </x:c>
      <x:c r="G61" s="20" t="str">
        <x:v>ger</x:v>
      </x:c>
      <x:c r="H61" s="20" t="n">
        <x:v>0</x:v>
      </x:c>
      <x:c r="I61" s="20" t="n">
        <x:v>7</x:v>
      </x:c>
      <x:c r="J61" s="20" t="n">
        <x:v>0</x:v>
      </x:c>
      <x:c r="K61" s="20" t="n">
        <x:v>0</x:v>
      </x:c>
      <x:c r="L61" s="20" t="str">
        <x:v>1156412889 | 1120415586 | 1078687102 | 1013657128 | 979426359 | 959949364 | 955717256</x:v>
      </x:c>
    </x:row>
    <x:row r="62" ht="44" customHeight="1">
      <x:c r="A62" s="20" t="str">
        <x:v>navid-kermani-3495e82159</x:v>
      </x:c>
      <x:c r="B62" s="20" t="str">
        <x:v>Navid Kermani</x:v>
      </x:c>
      <x:c r="C62" s="20" t="str">
        <x:v>Große Liebe : Roman</x:v>
      </x:c>
      <x:c r="D62" s="20" t="n">
        <x:v>4</x:v>
      </x:c>
      <x:c r="E62" s="35" t="str">
        <x:v>CORE_FOR_WORK_CLUSTERING</x:v>
      </x:c>
      <x:c r="F62" s="20" t="str">
        <x:v>At least one German literary record without translation evidence.</x:v>
      </x:c>
      <x:c r="G62" s="20" t="str">
        <x:v>ger</x:v>
      </x:c>
      <x:c r="H62" s="20" t="n">
        <x:v>4</x:v>
      </x:c>
      <x:c r="I62" s="20" t="n">
        <x:v>4</x:v>
      </x:c>
      <x:c r="J62" s="20" t="n">
        <x:v>0</x:v>
      </x:c>
      <x:c r="K62" s="20" t="n">
        <x:v>4</x:v>
      </x:c>
      <x:c r="L62" s="20" t="str">
        <x:v>1070566349 | 1056855843 | 1058987097 | 1045641251</x:v>
      </x:c>
    </x:row>
    <x:row r="63" ht="44" customHeight="1">
      <x:c r="A63" s="20" t="str">
        <x:v>navid-kermani-fc2e40b6b0</x:v>
      </x:c>
      <x:c r="B63" s="20" t="str">
        <x:v>Navid Kermani</x:v>
      </x:c>
      <x:c r="C63" s="20" t="str">
        <x:v>Hotel Savoy</x:v>
      </x:c>
      <x:c r="D63" s="20" t="n">
        <x:v>1</x:v>
      </x:c>
      <x:c r="E63" s="36" t="str">
        <x:v>AUTO_EXCLUDE_NON_LITERARY</x:v>
      </x:c>
      <x:c r="F63" s="20" t="str">
        <x:v>German record(s), but no stated literary subject or genre signal.</x:v>
      </x:c>
      <x:c r="G63" s="20" t="str">
        <x:v>ger</x:v>
      </x:c>
      <x:c r="H63" s="20" t="n">
        <x:v>0</x:v>
      </x:c>
      <x:c r="I63" s="20" t="n">
        <x:v>1</x:v>
      </x:c>
      <x:c r="J63" s="20" t="n">
        <x:v>0</x:v>
      </x:c>
      <x:c r="K63" s="20" t="n">
        <x:v>0</x:v>
      </x:c>
      <x:c r="L63" s="20" t="str">
        <x:v>1271130580</x:v>
      </x:c>
    </x:row>
    <x:row r="64" ht="44" customHeight="1">
      <x:c r="A64" s="20" t="str">
        <x:v>navid-kermani-50292d5817</x:v>
      </x:c>
      <x:c r="B64" s="20" t="str">
        <x:v>Navid Kermani</x:v>
      </x:c>
      <x:c r="C64" s="20" t="str">
        <x:v>In die andere Richtung jetzt : Eine Reise durch Ostafrika</x:v>
      </x:c>
      <x:c r="D64" s="20" t="n">
        <x:v>5</x:v>
      </x:c>
      <x:c r="E64" s="36" t="str">
        <x:v>AUTO_EXCLUDE_NON_LITERARY</x:v>
      </x:c>
      <x:c r="F64" s="20" t="str">
        <x:v>German record(s), but no stated literary subject or genre signal.</x:v>
      </x:c>
      <x:c r="G64" s="20" t="str">
        <x:v>ger</x:v>
      </x:c>
      <x:c r="H64" s="20" t="n">
        <x:v>0</x:v>
      </x:c>
      <x:c r="I64" s="20" t="n">
        <x:v>5</x:v>
      </x:c>
      <x:c r="J64" s="20" t="n">
        <x:v>0</x:v>
      </x:c>
      <x:c r="K64" s="20" t="n">
        <x:v>0</x:v>
      </x:c>
      <x:c r="L64" s="20" t="str">
        <x:v>1378383400 | 1371996628 | 1350682470 | 1350682497 | 1323190007</x:v>
      </x:c>
    </x:row>
    <x:row r="65" ht="44" customHeight="1">
      <x:c r="A65" s="20" t="str">
        <x:v>navid-kermani-1f321bc556</x:v>
      </x:c>
      <x:c r="B65" s="20" t="str">
        <x:v>Navid Kermani</x:v>
      </x:c>
      <x:c r="C65" s="20" t="str">
        <x:v>Iran : die Revolution der Kinder</x:v>
      </x:c>
      <x:c r="D65" s="20" t="n">
        <x:v>5</x:v>
      </x:c>
      <x:c r="E65" s="36" t="str">
        <x:v>AUTO_EXCLUDE_NON_LITERARY</x:v>
      </x:c>
      <x:c r="F65" s="20" t="str">
        <x:v>German record(s), but no stated literary subject or genre signal.</x:v>
      </x:c>
      <x:c r="G65" s="20" t="str">
        <x:v>ger</x:v>
      </x:c>
      <x:c r="H65" s="20" t="n">
        <x:v>0</x:v>
      </x:c>
      <x:c r="I65" s="20" t="n">
        <x:v>5</x:v>
      </x:c>
      <x:c r="J65" s="20" t="n">
        <x:v>0</x:v>
      </x:c>
      <x:c r="K65" s="20" t="n">
        <x:v>0</x:v>
      </x:c>
      <x:c r="L65" s="20" t="str">
        <x:v>1073546330 | 1078265461 | 973938765 | 964349248 | 960702814</x:v>
      </x:c>
    </x:row>
    <x:row r="66" ht="44" customHeight="1">
      <x:c r="A66" s="20" t="str">
        <x:v>navid-kermani-bf46d58cd6</x:v>
      </x:c>
      <x:c r="B66" s="20" t="str">
        <x:v>Navid Kermani</x:v>
      </x:c>
      <x:c r="C66" s="20" t="str">
        <x:v>Israel : ein Gespräch zwischen Natan Sznaider &amp; Navid Kermani</x:v>
      </x:c>
      <x:c r="D66" s="20" t="n">
        <x:v>1</x:v>
      </x:c>
      <x:c r="E66" s="36" t="str">
        <x:v>AUTO_EXCLUDE_NON_LITERARY</x:v>
      </x:c>
      <x:c r="F66" s="20" t="str">
        <x:v>German record(s), but no stated literary subject or genre signal.</x:v>
      </x:c>
      <x:c r="G66" s="20" t="str">
        <x:v>ger</x:v>
      </x:c>
      <x:c r="H66" s="20" t="n">
        <x:v>0</x:v>
      </x:c>
      <x:c r="I66" s="20" t="n">
        <x:v>1</x:v>
      </x:c>
      <x:c r="J66" s="20" t="n">
        <x:v>0</x:v>
      </x:c>
      <x:c r="K66" s="20" t="n">
        <x:v>0</x:v>
      </x:c>
      <x:c r="L66" s="20" t="str">
        <x:v>1345844557</x:v>
      </x:c>
    </x:row>
    <x:row r="67" ht="44" customHeight="1">
      <x:c r="A67" s="20" t="str">
        <x:v>navid-kermani-233f06ab05</x:v>
      </x:c>
      <x:c r="B67" s="20" t="str">
        <x:v>Navid Kermani</x:v>
      </x:c>
      <x:c r="C67" s="20" t="str">
        <x:v>Jeder Mensch eine Menschheit : Dankrede zum Joseph-Breitbach-Preis für "Dein Name". Mit der Laudatio von Martin Mosebach</x:v>
      </x:c>
      <x:c r="D67" s="20" t="n">
        <x:v>1</x:v>
      </x:c>
      <x:c r="E67" s="35" t="str">
        <x:v>CORE_FOR_WORK_CLUSTERING</x:v>
      </x:c>
      <x:c r="F67" s="20" t="str">
        <x:v>At least one German literary record without translation evidence.</x:v>
      </x:c>
      <x:c r="G67" s="20" t="str">
        <x:v>ger</x:v>
      </x:c>
      <x:c r="H67" s="20" t="n">
        <x:v>1</x:v>
      </x:c>
      <x:c r="I67" s="20" t="n">
        <x:v>1</x:v>
      </x:c>
      <x:c r="J67" s="20" t="n">
        <x:v>0</x:v>
      </x:c>
      <x:c r="K67" s="20" t="n">
        <x:v>1</x:v>
      </x:c>
      <x:c r="L67" s="20" t="str">
        <x:v>1077704763</x:v>
      </x:c>
    </x:row>
    <x:row r="68" ht="44" customHeight="1">
      <x:c r="A68" s="20" t="str">
        <x:v>navid-kermani-32391be878</x:v>
      </x:c>
      <x:c r="B68" s="20" t="str">
        <x:v>Navid Kermani</x:v>
      </x:c>
      <x:c r="C68" s="20" t="str">
        <x:v>Jeder soll von da, wo er ist, einen Schritt näher kommen : Fragen nach Gott</x:v>
      </x:c>
      <x:c r="D68" s="20" t="n">
        <x:v>4</x:v>
      </x:c>
      <x:c r="E68" s="36" t="str">
        <x:v>AUTO_EXCLUDE_NON_LITERARY</x:v>
      </x:c>
      <x:c r="F68" s="20" t="str">
        <x:v>German record(s), but no stated literary subject or genre signal.</x:v>
      </x:c>
      <x:c r="G68" s="20" t="str">
        <x:v>ger</x:v>
      </x:c>
      <x:c r="H68" s="20" t="n">
        <x:v>0</x:v>
      </x:c>
      <x:c r="I68" s="20" t="n">
        <x:v>4</x:v>
      </x:c>
      <x:c r="J68" s="20" t="n">
        <x:v>0</x:v>
      </x:c>
      <x:c r="K68" s="20" t="n">
        <x:v>0</x:v>
      </x:c>
      <x:c r="L68" s="20" t="str">
        <x:v>1285897595 | 1244444936 | 1244422037 | 124631259X</x:v>
      </x:c>
    </x:row>
    <x:row r="69" ht="44" customHeight="1">
      <x:c r="A69" s="20" t="str">
        <x:v>navid-kermani-23414f3ef7</x:v>
      </x:c>
      <x:c r="B69" s="20" t="str">
        <x:v>Navid Kermani</x:v>
      </x:c>
      <x:c r="C69" s="20" t="str">
        <x:v>Ko smi mi? : nemačka i njeni muslimani</x:v>
      </x:c>
      <x:c r="D69" s="20" t="n">
        <x:v>1</x:v>
      </x:c>
      <x:c r="E69" s="36" t="str">
        <x:v>AUTO_EXCLUDE_NON_GERMAN</x:v>
      </x:c>
      <x:c r="F69" s="20" t="str">
        <x:v>All records are non-German publications.</x:v>
      </x:c>
      <x:c r="G69" s="20" t="str">
        <x:v>srp</x:v>
      </x:c>
      <x:c r="H69" s="20" t="n">
        <x:v>0</x:v>
      </x:c>
      <x:c r="I69" s="20" t="n">
        <x:v>0</x:v>
      </x:c>
      <x:c r="J69" s="20" t="n">
        <x:v>0</x:v>
      </x:c>
      <x:c r="K69" s="20" t="n">
        <x:v>0</x:v>
      </x:c>
      <x:c r="L69" s="20" t="str">
        <x:v>1046085972</x:v>
      </x:c>
    </x:row>
    <x:row r="70" ht="44" customHeight="1">
      <x:c r="A70" s="20" t="str">
        <x:v>navid-kermani-e32ba2867e</x:v>
      </x:c>
      <x:c r="B70" s="20" t="str">
        <x:v>Navid Kermani</x:v>
      </x:c>
      <x:c r="C70" s="20" t="str">
        <x:v>Kurzmitteilung</x:v>
      </x:c>
      <x:c r="D70" s="20" t="n">
        <x:v>1</x:v>
      </x:c>
      <x:c r="E70" s="35" t="str">
        <x:v>CORE_FOR_WORK_CLUSTERING</x:v>
      </x:c>
      <x:c r="F70" s="20" t="str">
        <x:v>At least one German literary record without translation evidence.</x:v>
      </x:c>
      <x:c r="G70" s="20" t="str">
        <x:v>ger</x:v>
      </x:c>
      <x:c r="H70" s="20" t="n">
        <x:v>1</x:v>
      </x:c>
      <x:c r="I70" s="20" t="n">
        <x:v>1</x:v>
      </x:c>
      <x:c r="J70" s="20" t="n">
        <x:v>0</x:v>
      </x:c>
      <x:c r="K70" s="20" t="n">
        <x:v>1</x:v>
      </x:c>
      <x:c r="L70" s="20" t="str">
        <x:v>1056859156</x:v>
      </x:c>
    </x:row>
    <x:row r="71" ht="44" customHeight="1">
      <x:c r="A71" s="20" t="str">
        <x:v>navid-kermani-9ea0d2b5c6</x:v>
      </x:c>
      <x:c r="B71" s="20" t="str">
        <x:v>Navid Kermani</x:v>
      </x:c>
      <x:c r="C71" s="20" t="str">
        <x:v>Kurzmitteilung : Roman</x:v>
      </x:c>
      <x:c r="D71" s="20" t="n">
        <x:v>1</x:v>
      </x:c>
      <x:c r="E71" s="35" t="str">
        <x:v>CORE_FOR_WORK_CLUSTERING</x:v>
      </x:c>
      <x:c r="F71" s="20" t="str">
        <x:v>At least one German literary record without translation evidence.</x:v>
      </x:c>
      <x:c r="G71" s="20" t="str">
        <x:v>ger</x:v>
      </x:c>
      <x:c r="H71" s="20" t="n">
        <x:v>1</x:v>
      </x:c>
      <x:c r="I71" s="20" t="n">
        <x:v>1</x:v>
      </x:c>
      <x:c r="J71" s="20" t="n">
        <x:v>0</x:v>
      </x:c>
      <x:c r="K71" s="20" t="n">
        <x:v>1</x:v>
      </x:c>
      <x:c r="L71" s="20" t="str">
        <x:v>982478631</x:v>
      </x:c>
    </x:row>
    <x:row r="72" ht="44" customHeight="1">
      <x:c r="A72" s="20" t="str">
        <x:v>navid-kermani-9406d866fb</x:v>
      </x:c>
      <x:c r="B72" s="20" t="str">
        <x:v>Navid Kermani</x:v>
      </x:c>
      <x:c r="C72" s="20" t="str">
        <x:v>Köln : E Jeföhl</x:v>
      </x:c>
      <x:c r="D72" s="20" t="n">
        <x:v>3</x:v>
      </x:c>
      <x:c r="E72" s="36" t="str">
        <x:v>AUTO_EXCLUDE_NON_LITERARY</x:v>
      </x:c>
      <x:c r="F72" s="20" t="str">
        <x:v>German record(s), but no stated literary subject or genre signal.</x:v>
      </x:c>
      <x:c r="G72" s="20" t="str">
        <x:v>ger</x:v>
      </x:c>
      <x:c r="H72" s="20" t="n">
        <x:v>0</x:v>
      </x:c>
      <x:c r="I72" s="20" t="n">
        <x:v>3</x:v>
      </x:c>
      <x:c r="J72" s="20" t="n">
        <x:v>0</x:v>
      </x:c>
      <x:c r="K72" s="20" t="n">
        <x:v>0</x:v>
      </x:c>
      <x:c r="L72" s="20" t="str">
        <x:v>1393610765 | 1418731854 | 1418732389</x:v>
      </x:c>
    </x:row>
    <x:row r="73" ht="44" customHeight="1">
      <x:c r="A73" s="20" t="str">
        <x:v>navid-kermani-d9ed2765b7</x:v>
      </x:c>
      <x:c r="B73" s="20" t="str">
        <x:v>Navid Kermani</x:v>
      </x:c>
      <x:c r="C73" s="20" t="str">
        <x:v>Morgen ist da : Reden</x:v>
      </x:c>
      <x:c r="D73" s="20" t="n">
        <x:v>5</x:v>
      </x:c>
      <x:c r="E73" s="36" t="str">
        <x:v>AUTO_EXCLUDE_NON_LITERARY</x:v>
      </x:c>
      <x:c r="F73" s="20" t="str">
        <x:v>German record(s), but no stated literary subject or genre signal.</x:v>
      </x:c>
      <x:c r="G73" s="20" t="str">
        <x:v>ger</x:v>
      </x:c>
      <x:c r="H73" s="20" t="n">
        <x:v>0</x:v>
      </x:c>
      <x:c r="I73" s="20" t="n">
        <x:v>5</x:v>
      </x:c>
      <x:c r="J73" s="20" t="n">
        <x:v>0</x:v>
      </x:c>
      <x:c r="K73" s="20" t="n">
        <x:v>0</x:v>
      </x:c>
      <x:c r="L73" s="20" t="str">
        <x:v>1242033742 | 1242033459 | 1230489258 | 1182454488 | 1202045405</x:v>
      </x:c>
    </x:row>
    <x:row r="74" ht="44" customHeight="1">
      <x:c r="A74" s="20" t="str">
        <x:v>navid-kermani-d4db11745d</x:v>
      </x:c>
      <x:c r="B74" s="20" t="str">
        <x:v>Navid Kermani</x:v>
      </x:c>
      <x:c r="C74" s="20" t="str">
        <x:v>Nach Europa : Rede zum 50. Jahrestag der Wiedereröffnung des Wiener Burgtheaters</x:v>
      </x:c>
      <x:c r="D74" s="20" t="n">
        <x:v>1</x:v>
      </x:c>
      <x:c r="E74" s="36" t="str">
        <x:v>AUTO_EXCLUDE_NON_LITERARY</x:v>
      </x:c>
      <x:c r="F74" s="20" t="str">
        <x:v>German record(s), but no stated literary subject or genre signal.</x:v>
      </x:c>
      <x:c r="G74" s="20" t="str">
        <x:v>ger</x:v>
      </x:c>
      <x:c r="H74" s="20" t="n">
        <x:v>0</x:v>
      </x:c>
      <x:c r="I74" s="20" t="n">
        <x:v>1</x:v>
      </x:c>
      <x:c r="J74" s="20" t="n">
        <x:v>0</x:v>
      </x:c>
      <x:c r="K74" s="20" t="n">
        <x:v>0</x:v>
      </x:c>
      <x:c r="L74" s="20" t="str">
        <x:v>985601507</x:v>
      </x:c>
    </x:row>
    <x:row r="75" ht="44" customHeight="1">
      <x:c r="A75" s="20" t="str">
        <x:v>navid-kermani-e9154ca411</x:v>
      </x:c>
      <x:c r="B75" s="20" t="str">
        <x:v>Navid Kermani</x:v>
      </x:c>
      <x:c r="C75" s="20" t="str">
        <x:v>Offenbarung als Kommunikation : das Konzept waḥy in Naṣr Hāmid Abū Zayds Mafhūm an-naṣṣ</x:v>
      </x:c>
      <x:c r="D75" s="20" t="n">
        <x:v>1</x:v>
      </x:c>
      <x:c r="E75" s="36" t="str">
        <x:v>AUTO_EXCLUDE_NON_LITERARY</x:v>
      </x:c>
      <x:c r="F75" s="20" t="str">
        <x:v>German record(s), but no stated literary subject or genre signal.</x:v>
      </x:c>
      <x:c r="G75" s="20" t="str">
        <x:v>ger</x:v>
      </x:c>
      <x:c r="H75" s="20" t="n">
        <x:v>0</x:v>
      </x:c>
      <x:c r="I75" s="20" t="n">
        <x:v>1</x:v>
      </x:c>
      <x:c r="J75" s="20" t="n">
        <x:v>0</x:v>
      </x:c>
      <x:c r="K75" s="20" t="n">
        <x:v>0</x:v>
      </x:c>
      <x:c r="L75" s="20" t="str">
        <x:v>947776346</x:v>
      </x:c>
    </x:row>
    <x:row r="76" ht="44" customHeight="1">
      <x:c r="A76" s="20" t="str">
        <x:v>navid-kermani-22fdf04bce</x:v>
      </x:c>
      <x:c r="B76" s="20" t="str">
        <x:v>Navid Kermani</x:v>
      </x:c>
      <x:c r="C76" s="20" t="str">
        <x:v>Reden für die Freiheit</x:v>
      </x:c>
      <x:c r="D76" s="20" t="n">
        <x:v>2</x:v>
      </x:c>
      <x:c r="E76" s="36" t="str">
        <x:v>AUTO_EXCLUDE_NON_LITERARY</x:v>
      </x:c>
      <x:c r="F76" s="20" t="str">
        <x:v>German record(s), but no stated literary subject or genre signal.</x:v>
      </x:c>
      <x:c r="G76" s="20" t="str">
        <x:v>ger</x:v>
      </x:c>
      <x:c r="H76" s="20" t="n">
        <x:v>0</x:v>
      </x:c>
      <x:c r="I76" s="20" t="n">
        <x:v>2</x:v>
      </x:c>
      <x:c r="J76" s="20" t="n">
        <x:v>0</x:v>
      </x:c>
      <x:c r="K76" s="20" t="n">
        <x:v>0</x:v>
      </x:c>
      <x:c r="L76" s="20" t="str">
        <x:v>1148149929 | 1079538828</x:v>
      </x:c>
    </x:row>
    <x:row r="77" ht="44" customHeight="1">
      <x:c r="A77" s="20" t="str">
        <x:v>navid-kermani-92e5ca0558</x:v>
      </x:c>
      <x:c r="B77" s="20" t="str">
        <x:v>Navid Kermani</x:v>
      </x:c>
      <x:c r="C77" s="20" t="str">
        <x:v>Schöner neuer Orient : Berichte von Städten und Kriegen</x:v>
      </x:c>
      <x:c r="D77" s="20" t="n">
        <x:v>3</x:v>
      </x:c>
      <x:c r="E77" s="36" t="str">
        <x:v>AUTO_EXCLUDE_NON_LITERARY</x:v>
      </x:c>
      <x:c r="F77" s="20" t="str">
        <x:v>German record(s), but no stated literary subject or genre signal.</x:v>
      </x:c>
      <x:c r="G77" s="20" t="str">
        <x:v>ger</x:v>
      </x:c>
      <x:c r="H77" s="20" t="n">
        <x:v>0</x:v>
      </x:c>
      <x:c r="I77" s="20" t="n">
        <x:v>3</x:v>
      </x:c>
      <x:c r="J77" s="20" t="n">
        <x:v>0</x:v>
      </x:c>
      <x:c r="K77" s="20" t="n">
        <x:v>0</x:v>
      </x:c>
      <x:c r="L77" s="20" t="str">
        <x:v>107520870X | 969286767 | 96560439X</x:v>
      </x:c>
    </x:row>
    <x:row r="78" ht="44" customHeight="1">
      <x:c r="A78" s="20" t="str">
        <x:v>navid-kermani-d1f300a8fd</x:v>
      </x:c>
      <x:c r="B78" s="20" t="str">
        <x:v>Navid Kermani</x:v>
      </x:c>
      <x:c r="C78" s="20" t="str">
        <x:v>Sommer 24 : Roman</x:v>
      </x:c>
      <x:c r="D78" s="20" t="n">
        <x:v>2</x:v>
      </x:c>
      <x:c r="E78" s="35" t="str">
        <x:v>CORE_FOR_WORK_CLUSTERING</x:v>
      </x:c>
      <x:c r="F78" s="20" t="str">
        <x:v>At least one German literary record without translation evidence.</x:v>
      </x:c>
      <x:c r="G78" s="20" t="str">
        <x:v>ger</x:v>
      </x:c>
      <x:c r="H78" s="20" t="n">
        <x:v>2</x:v>
      </x:c>
      <x:c r="I78" s="20" t="n">
        <x:v>2</x:v>
      </x:c>
      <x:c r="J78" s="20" t="n">
        <x:v>0</x:v>
      </x:c>
      <x:c r="K78" s="20" t="n">
        <x:v>2</x:v>
      </x:c>
      <x:c r="L78" s="20" t="str">
        <x:v>1378580206 | 1381691838</x:v>
      </x:c>
    </x:row>
    <x:row r="79" ht="44" customHeight="1">
      <x:c r="A79" s="20" t="str">
        <x:v>navid-kermani-877406ef02</x:v>
      </x:c>
      <x:c r="B79" s="20" t="str">
        <x:v>Navid Kermani</x:v>
      </x:c>
      <x:c r="C79" s="20" t="str">
        <x:v>Sozusagen Paris : Roman</x:v>
      </x:c>
      <x:c r="D79" s="20" t="n">
        <x:v>1</x:v>
      </x:c>
      <x:c r="E79" s="35" t="str">
        <x:v>CORE_FOR_WORK_CLUSTERING</x:v>
      </x:c>
      <x:c r="F79" s="20" t="str">
        <x:v>At least one German literary record without translation evidence.</x:v>
      </x:c>
      <x:c r="G79" s="20" t="str">
        <x:v>ger</x:v>
      </x:c>
      <x:c r="H79" s="20" t="n">
        <x:v>1</x:v>
      </x:c>
      <x:c r="I79" s="20" t="n">
        <x:v>1</x:v>
      </x:c>
      <x:c r="J79" s="20" t="n">
        <x:v>0</x:v>
      </x:c>
      <x:c r="K79" s="20" t="n">
        <x:v>1</x:v>
      </x:c>
      <x:c r="L79" s="20" t="str">
        <x:v>1113986433</x:v>
      </x:c>
    </x:row>
    <x:row r="80" ht="44" customHeight="1">
      <x:c r="A80" s="20" t="str">
        <x:v>navid-kermani-da8ba54614</x:v>
      </x:c>
      <x:c r="B80" s="20" t="str">
        <x:v>Navid Kermani</x:v>
      </x:c>
      <x:c r="C80" s="20" t="str">
        <x:v>Sprache als Wunder : der Koran als Grundtext der arabischen Kultur</x:v>
      </x:c>
      <x:c r="D80" s="20" t="n">
        <x:v>1</x:v>
      </x:c>
      <x:c r="E80" s="36" t="str">
        <x:v>AUTO_EXCLUDE_NON_LITERARY</x:v>
      </x:c>
      <x:c r="F80" s="20" t="str">
        <x:v>German record(s), but no stated literary subject or genre signal.</x:v>
      </x:c>
      <x:c r="G80" s="20" t="str">
        <x:v>ger</x:v>
      </x:c>
      <x:c r="H80" s="20" t="n">
        <x:v>0</x:v>
      </x:c>
      <x:c r="I80" s="20" t="n">
        <x:v>1</x:v>
      </x:c>
      <x:c r="J80" s="20" t="n">
        <x:v>0</x:v>
      </x:c>
      <x:c r="K80" s="20" t="n">
        <x:v>0</x:v>
      </x:c>
      <x:c r="L80" s="20" t="str">
        <x:v>995122040</x:v>
      </x:c>
    </x:row>
    <x:row r="81" ht="44" customHeight="1">
      <x:c r="A81" s="20" t="str">
        <x:v>navid-kermani-7942eac095</x:v>
      </x:c>
      <x:c r="B81" s="20" t="str">
        <x:v>Navid Kermani</x:v>
      </x:c>
      <x:c r="C81" s="20" t="str">
        <x:v>State of Emergency : Travels in a Troubled World</x:v>
      </x:c>
      <x:c r="D81" s="20" t="n">
        <x:v>2</x:v>
      </x:c>
      <x:c r="E81" s="36" t="str">
        <x:v>AUTO_EXCLUDE_NON_GERMAN</x:v>
      </x:c>
      <x:c r="F81" s="20" t="str">
        <x:v>All records are non-German publications.</x:v>
      </x:c>
      <x:c r="G81" s="20" t="str">
        <x:v>eng</x:v>
      </x:c>
      <x:c r="H81" s="20" t="n">
        <x:v>0</x:v>
      </x:c>
      <x:c r="I81" s="20" t="n">
        <x:v>0</x:v>
      </x:c>
      <x:c r="J81" s="20" t="n">
        <x:v>2</x:v>
      </x:c>
      <x:c r="K81" s="20" t="n">
        <x:v>0</x:v>
      </x:c>
      <x:c r="L81" s="20" t="str">
        <x:v>1158662629 | 1160912262</x:v>
      </x:c>
    </x:row>
    <x:row r="82" ht="44" customHeight="1">
      <x:c r="A82" s="20" t="str">
        <x:v>navid-kermani-22854e1822</x:v>
      </x:c>
      <x:c r="B82" s="20" t="str">
        <x:v>Navid Kermani</x:v>
      </x:c>
      <x:c r="C82" s="20" t="str">
        <x:v>Strategie der Eskalation : Der Nahe Osten und die Politik des Westens</x:v>
      </x:c>
      <x:c r="D82" s="20" t="n">
        <x:v>3</x:v>
      </x:c>
      <x:c r="E82" s="36" t="str">
        <x:v>AUTO_EXCLUDE_NON_LITERARY</x:v>
      </x:c>
      <x:c r="F82" s="20" t="str">
        <x:v>German record(s), but no stated literary subject or genre signal.</x:v>
      </x:c>
      <x:c r="G82" s="20" t="str">
        <x:v>ger</x:v>
      </x:c>
      <x:c r="H82" s="20" t="n">
        <x:v>0</x:v>
      </x:c>
      <x:c r="I82" s="20" t="n">
        <x:v>3</x:v>
      </x:c>
      <x:c r="J82" s="20" t="n">
        <x:v>0</x:v>
      </x:c>
      <x:c r="K82" s="20" t="n">
        <x:v>0</x:v>
      </x:c>
      <x:c r="L82" s="20" t="str">
        <x:v>1074647637 | 1045732125 | 974517399</x:v>
      </x:c>
    </x:row>
    <x:row r="83" ht="44" customHeight="1">
      <x:c r="A83" s="20" t="str">
        <x:v>navid-kermani-494afb4694</x:v>
      </x:c>
      <x:c r="B83" s="20" t="str">
        <x:v>Navid Kermani</x:v>
      </x:c>
      <x:c r="C83" s="20" t="str">
        <x:v>Terror of God : Attar, Job and the metaphysical revolt</x:v>
      </x:c>
      <x:c r="D83" s="20" t="n">
        <x:v>1</x:v>
      </x:c>
      <x:c r="E83" s="36" t="str">
        <x:v>AUTO_EXCLUDE_NON_GERMAN</x:v>
      </x:c>
      <x:c r="F83" s="20" t="str">
        <x:v>All records are non-German publications.</x:v>
      </x:c>
      <x:c r="G83" s="20" t="str">
        <x:v>eng</x:v>
      </x:c>
      <x:c r="H83" s="20" t="n">
        <x:v>0</x:v>
      </x:c>
      <x:c r="I83" s="20" t="n">
        <x:v>0</x:v>
      </x:c>
      <x:c r="J83" s="20" t="n">
        <x:v>0</x:v>
      </x:c>
      <x:c r="K83" s="20" t="n">
        <x:v>0</x:v>
      </x:c>
      <x:c r="L83" s="20" t="str">
        <x:v>1016703139</x:v>
      </x:c>
    </x:row>
    <x:row r="84" ht="44" customHeight="1">
      <x:c r="A84" s="20" t="str">
        <x:v>navid-kermani-4166e0c28d</x:v>
      </x:c>
      <x:c r="B84" s="20" t="str">
        <x:v>Navid Kermani</x:v>
      </x:c>
      <x:c r="C84" s="20" t="str">
        <x:v>Toleranz : Drei Lesarten zu Lessings »Märchen vom Ring« im Jahre 2003</x:v>
      </x:c>
      <x:c r="D84" s="20" t="n">
        <x:v>2</x:v>
      </x:c>
      <x:c r="E84" s="35" t="str">
        <x:v>CORE_FOR_WORK_CLUSTERING</x:v>
      </x:c>
      <x:c r="F84" s="20" t="str">
        <x:v>At least one German literary record without translation evidence.</x:v>
      </x:c>
      <x:c r="G84" s="20" t="str">
        <x:v>ger</x:v>
      </x:c>
      <x:c r="H84" s="20" t="n">
        <x:v>2</x:v>
      </x:c>
      <x:c r="I84" s="20" t="n">
        <x:v>2</x:v>
      </x:c>
      <x:c r="J84" s="20" t="n">
        <x:v>0</x:v>
      </x:c>
      <x:c r="K84" s="20" t="n">
        <x:v>2</x:v>
      </x:c>
      <x:c r="L84" s="20" t="str">
        <x:v>109959913X | 1099599164</x:v>
      </x:c>
    </x:row>
    <x:row r="85" ht="44" customHeight="1">
      <x:c r="A85" s="20" t="str">
        <x:v>navid-kermani-ba33964e7a</x:v>
      </x:c>
      <x:c r="B85" s="20" t="str">
        <x:v>Navid Kermani</x:v>
      </x:c>
      <x:c r="C85" s="20" t="str">
        <x:v>Ungläubiges Staunen : über das Christentum</x:v>
      </x:c>
      <x:c r="D85" s="20" t="n">
        <x:v>7</x:v>
      </x:c>
      <x:c r="E85" s="36" t="str">
        <x:v>AUTO_EXCLUDE_NON_LITERARY</x:v>
      </x:c>
      <x:c r="F85" s="20" t="str">
        <x:v>German record(s), but no stated literary subject or genre signal.</x:v>
      </x:c>
      <x:c r="G85" s="20" t="str">
        <x:v>ger</x:v>
      </x:c>
      <x:c r="H85" s="20" t="n">
        <x:v>0</x:v>
      </x:c>
      <x:c r="I85" s="20" t="n">
        <x:v>7</x:v>
      </x:c>
      <x:c r="J85" s="20" t="n">
        <x:v>0</x:v>
      </x:c>
      <x:c r="K85" s="20" t="n">
        <x:v>0</x:v>
      </x:c>
      <x:c r="L85" s="20" t="str">
        <x:v>1301900699 | 1081101946 | 1069549312 | 1078265364 | 107832221X | 1081461810 | 1115191640</x:v>
      </x:c>
    </x:row>
    <x:row r="86" ht="44" customHeight="1">
      <x:c r="A86" s="20" t="str">
        <x:v>navid-kermani-826f0d6bef</x:v>
      </x:c>
      <x:c r="B86" s="20" t="str">
        <x:v>Navid Kermani</x:v>
      </x:c>
      <x:c r="C86" s="20" t="str">
        <x:v>Upheaval : The Refugee Trek through Europe</x:v>
      </x:c>
      <x:c r="D86" s="20" t="n">
        <x:v>1</x:v>
      </x:c>
      <x:c r="E86" s="36" t="str">
        <x:v>AUTO_EXCLUDE_NON_GERMAN</x:v>
      </x:c>
      <x:c r="F86" s="20" t="str">
        <x:v>All records are non-German publications.</x:v>
      </x:c>
      <x:c r="G86" s="20" t="str">
        <x:v>eng</x:v>
      </x:c>
      <x:c r="H86" s="20" t="n">
        <x:v>0</x:v>
      </x:c>
      <x:c r="I86" s="20" t="n">
        <x:v>0</x:v>
      </x:c>
      <x:c r="J86" s="20" t="n">
        <x:v>1</x:v>
      </x:c>
      <x:c r="K86" s="20" t="n">
        <x:v>0</x:v>
      </x:c>
      <x:c r="L86" s="20" t="str">
        <x:v>1133169082</x:v>
      </x:c>
    </x:row>
    <x:row r="87" ht="44" customHeight="1">
      <x:c r="A87" s="20" t="str">
        <x:v>navid-kermani-eebeb394ad</x:v>
      </x:c>
      <x:c r="B87" s="20" t="str">
        <x:v>Navid Kermani</x:v>
      </x:c>
      <x:c r="C87" s="20" t="str">
        <x:v>Vergesst Deutschland! : Eine patriotische Rede</x:v>
      </x:c>
      <x:c r="D87" s="20" t="n">
        <x:v>1</x:v>
      </x:c>
      <x:c r="E87" s="36" t="str">
        <x:v>AUTO_EXCLUDE_NON_LITERARY</x:v>
      </x:c>
      <x:c r="F87" s="20" t="str">
        <x:v>German record(s), but no stated literary subject or genre signal.</x:v>
      </x:c>
      <x:c r="G87" s="20" t="str">
        <x:v>ger</x:v>
      </x:c>
      <x:c r="H87" s="20" t="n">
        <x:v>0</x:v>
      </x:c>
      <x:c r="I87" s="20" t="n">
        <x:v>1</x:v>
      </x:c>
      <x:c r="J87" s="20" t="n">
        <x:v>0</x:v>
      </x:c>
      <x:c r="K87" s="20" t="n">
        <x:v>0</x:v>
      </x:c>
      <x:c r="L87" s="20" t="str">
        <x:v>1027300855</x:v>
      </x:c>
    </x:row>
    <x:row r="88" ht="44" customHeight="1">
      <x:c r="A88" s="20" t="str">
        <x:v>navid-kermani-dc0cf946a0</x:v>
      </x:c>
      <x:c r="B88" s="20" t="str">
        <x:v>Navid Kermani</x:v>
      </x:c>
      <x:c r="C88" s="20" t="str">
        <x:v>Vergesst Deutschland! : eine patriotische Rede ; zur Eröffnung der Hamburger Lessingtage 2012</x:v>
      </x:c>
      <x:c r="D88" s="20" t="n">
        <x:v>1</x:v>
      </x:c>
      <x:c r="E88" s="36" t="str">
        <x:v>AUTO_EXCLUDE_NON_LITERARY</x:v>
      </x:c>
      <x:c r="F88" s="20" t="str">
        <x:v>German record(s), but no stated literary subject or genre signal.</x:v>
      </x:c>
      <x:c r="G88" s="20" t="str">
        <x:v>ger</x:v>
      </x:c>
      <x:c r="H88" s="20" t="n">
        <x:v>0</x:v>
      </x:c>
      <x:c r="I88" s="20" t="n">
        <x:v>1</x:v>
      </x:c>
      <x:c r="J88" s="20" t="n">
        <x:v>0</x:v>
      </x:c>
      <x:c r="K88" s="20" t="n">
        <x:v>0</x:v>
      </x:c>
      <x:c r="L88" s="20" t="str">
        <x:v>1022251686</x:v>
      </x:c>
    </x:row>
    <x:row r="89" ht="44" customHeight="1">
      <x:c r="A89" s="20" t="str">
        <x:v>navid-kermani-5c8891aa97</x:v>
      </x:c>
      <x:c r="B89" s="20" t="str">
        <x:v>Navid Kermani</x:v>
      </x:c>
      <x:c r="C89" s="20" t="str">
        <x:v>Vierzig Leben</x:v>
      </x:c>
      <x:c r="D89" s="20" t="n">
        <x:v>3</x:v>
      </x:c>
      <x:c r="E89" s="35" t="str">
        <x:v>CORE_FOR_WORK_CLUSTERING</x:v>
      </x:c>
      <x:c r="F89" s="20" t="str">
        <x:v>At least one German literary record without translation evidence.</x:v>
      </x:c>
      <x:c r="G89" s="20" t="str">
        <x:v>ger</x:v>
      </x:c>
      <x:c r="H89" s="20" t="n">
        <x:v>3</x:v>
      </x:c>
      <x:c r="I89" s="20" t="n">
        <x:v>3</x:v>
      </x:c>
      <x:c r="J89" s="20" t="n">
        <x:v>0</x:v>
      </x:c>
      <x:c r="K89" s="20" t="n">
        <x:v>3</x:v>
      </x:c>
      <x:c r="L89" s="20" t="str">
        <x:v>1147699194 | 1056859075 | 969102585</x:v>
      </x:c>
    </x:row>
    <x:row r="90" ht="44" customHeight="1">
      <x:c r="A90" s="20" t="str">
        <x:v>navid-kermani-4d6e293e00</x:v>
      </x:c>
      <x:c r="B90" s="20" t="str">
        <x:v>Navid Kermani</x:v>
      </x:c>
      <x:c r="C90" s="20" t="str">
        <x:v>Was jetzt möglich ist : 33 politische Situationen</x:v>
      </x:c>
      <x:c r="D90" s="20" t="n">
        <x:v>3</x:v>
      </x:c>
      <x:c r="E90" s="36" t="str">
        <x:v>AUTO_EXCLUDE_NON_LITERARY</x:v>
      </x:c>
      <x:c r="F90" s="20" t="str">
        <x:v>German record(s), but no stated literary subject or genre signal.</x:v>
      </x:c>
      <x:c r="G90" s="20" t="str">
        <x:v>ger</x:v>
      </x:c>
      <x:c r="H90" s="20" t="n">
        <x:v>0</x:v>
      </x:c>
      <x:c r="I90" s="20" t="n">
        <x:v>3</x:v>
      </x:c>
      <x:c r="J90" s="20" t="n">
        <x:v>0</x:v>
      </x:c>
      <x:c r="K90" s="20" t="n">
        <x:v>0</x:v>
      </x:c>
      <x:c r="L90" s="20" t="str">
        <x:v>1272850900 | 1272850927 | 125395142X</x:v>
      </x:c>
    </x:row>
    <x:row r="91" ht="44" customHeight="1">
      <x:c r="A91" s="20" t="str">
        <x:v>navid-kermani-bde1304d6e</x:v>
      </x:c>
      <x:c r="B91" s="20" t="str">
        <x:v>Navid Kermani</x:v>
      </x:c>
      <x:c r="C91" s="20" t="str">
        <x:v>Was jetzt wichtig ist</x:v>
      </x:c>
      <x:c r="D91" s="20" t="n">
        <x:v>2</x:v>
      </x:c>
      <x:c r="E91" s="36" t="str">
        <x:v>AUTO_EXCLUDE_NON_LITERARY</x:v>
      </x:c>
      <x:c r="F91" s="20" t="str">
        <x:v>German record(s), but no stated literary subject or genre signal.</x:v>
      </x:c>
      <x:c r="G91" s="20" t="str">
        <x:v>ger</x:v>
      </x:c>
      <x:c r="H91" s="20" t="n">
        <x:v>0</x:v>
      </x:c>
      <x:c r="I91" s="20" t="n">
        <x:v>2</x:v>
      </x:c>
      <x:c r="J91" s="20" t="n">
        <x:v>0</x:v>
      </x:c>
      <x:c r="K91" s="20" t="n">
        <x:v>0</x:v>
      </x:c>
      <x:c r="L91" s="20" t="str">
        <x:v>1216285675 | 1199128473</x:v>
      </x:c>
    </x:row>
    <x:row r="92" ht="44" customHeight="1">
      <x:c r="A92" s="20" t="str">
        <x:v>navid-kermani-1b0469ae8e</x:v>
      </x:c>
      <x:c r="B92" s="20" t="str">
        <x:v>Navid Kermani</x:v>
      </x:c>
      <x:c r="C92" s="20" t="str">
        <x:v>Wenn sich unsere Herzen gleich öffnen : Über Politik und Liebe</x:v>
      </x:c>
      <x:c r="D92" s="20" t="n">
        <x:v>3</x:v>
      </x:c>
      <x:c r="E92" s="36" t="str">
        <x:v>AUTO_EXCLUDE_NON_LITERARY</x:v>
      </x:c>
      <x:c r="F92" s="20" t="str">
        <x:v>German record(s), but no stated literary subject or genre signal.</x:v>
      </x:c>
      <x:c r="G92" s="20" t="str">
        <x:v>ger</x:v>
      </x:c>
      <x:c r="H92" s="20" t="n">
        <x:v>0</x:v>
      </x:c>
      <x:c r="I92" s="20" t="n">
        <x:v>3</x:v>
      </x:c>
      <x:c r="J92" s="20" t="n">
        <x:v>0</x:v>
      </x:c>
      <x:c r="K92" s="20" t="n">
        <x:v>0</x:v>
      </x:c>
      <x:c r="L92" s="20" t="str">
        <x:v>1381334334 | 1381334318 | 1362358762</x:v>
      </x:c>
    </x:row>
    <x:row r="93" ht="44" customHeight="1">
      <x:c r="A93" s="20" t="str">
        <x:v>navid-kermani-367dba708a</x:v>
      </x:c>
      <x:c r="B93" s="20" t="str">
        <x:v>Navid Kermani</x:v>
      </x:c>
      <x:c r="C93" s="20" t="str">
        <x:v>Wer ist Wir? : Deutschland und seine Muslime</x:v>
      </x:c>
      <x:c r="D93" s="20" t="n">
        <x:v>8</x:v>
      </x:c>
      <x:c r="E93" s="36" t="str">
        <x:v>AUTO_EXCLUDE_NON_LITERARY</x:v>
      </x:c>
      <x:c r="F93" s="20" t="str">
        <x:v>German record(s), but no stated literary subject or genre signal.</x:v>
      </x:c>
      <x:c r="G93" s="20" t="str">
        <x:v>ger</x:v>
      </x:c>
      <x:c r="H93" s="20" t="n">
        <x:v>0</x:v>
      </x:c>
      <x:c r="I93" s="20" t="n">
        <x:v>8</x:v>
      </x:c>
      <x:c r="J93" s="20" t="n">
        <x:v>0</x:v>
      </x:c>
      <x:c r="K93" s="20" t="n">
        <x:v>0</x:v>
      </x:c>
      <x:c r="L93" s="20" t="str">
        <x:v>1324484500 | 1073183432 | 1078265127 | 1047374668 | 1049922697 | 995818606 | 996863478 | 988055589</x:v>
      </x:c>
    </x:row>
    <x:row r="94" ht="44" customHeight="1">
      <x:c r="A94" s="20" t="str">
        <x:v>navid-kermani-ba6c9deacf</x:v>
      </x:c>
      <x:c r="B94" s="20" t="str">
        <x:v>Navid Kermani</x:v>
      </x:c>
      <x:c r="C94" s="20" t="str">
        <x:v>Wonder Beyond Belief : On Christianity</x:v>
      </x:c>
      <x:c r="D94" s="20" t="n">
        <x:v>3</x:v>
      </x:c>
      <x:c r="E94" s="36" t="str">
        <x:v>AUTO_EXCLUDE_NON_GERMAN</x:v>
      </x:c>
      <x:c r="F94" s="20" t="str">
        <x:v>All records are non-German publications.</x:v>
      </x:c>
      <x:c r="G94" s="20" t="str">
        <x:v>eng</x:v>
      </x:c>
      <x:c r="H94" s="20" t="n">
        <x:v>0</x:v>
      </x:c>
      <x:c r="I94" s="20" t="n">
        <x:v>0</x:v>
      </x:c>
      <x:c r="J94" s="20" t="n">
        <x:v>1</x:v>
      </x:c>
      <x:c r="K94" s="20" t="n">
        <x:v>0</x:v>
      </x:c>
      <x:c r="L94" s="20" t="str">
        <x:v>1224977955 | 1138577138 | 1160639663</x:v>
      </x:c>
    </x:row>
    <x:row r="95" ht="44" customHeight="1">
      <x:c r="A95" s="20" t="str">
        <x:v>navid-kermani-c701facdc2</x:v>
      </x:c>
      <x:c r="B95" s="20" t="str">
        <x:v>Navid Kermani</x:v>
      </x:c>
      <x:c r="C95" s="20" t="str">
        <x:v>Zu Hause ist es am Schönsten, sagte die linke Hand und hielt sich an der Heizung fest</x:v>
      </x:c>
      <x:c r="D95" s="20" t="n">
        <x:v>1</x:v>
      </x:c>
      <x:c r="E95" s="35" t="str">
        <x:v>CORE_FOR_WORK_CLUSTERING</x:v>
      </x:c>
      <x:c r="F95" s="20" t="str">
        <x:v>At least one German literary record without translation evidence.</x:v>
      </x:c>
      <x:c r="G95" s="20" t="str">
        <x:v>ger</x:v>
      </x:c>
      <x:c r="H95" s="20" t="n">
        <x:v>1</x:v>
      </x:c>
      <x:c r="I95" s="20" t="n">
        <x:v>1</x:v>
      </x:c>
      <x:c r="J95" s="20" t="n">
        <x:v>0</x:v>
      </x:c>
      <x:c r="K95" s="20" t="n">
        <x:v>1</x:v>
      </x:c>
      <x:c r="L95" s="20" t="str">
        <x:v>134452236X</x:v>
      </x:c>
    </x:row>
    <x:row r="96" ht="44" customHeight="1">
      <x:c r="A96" s="20" t="str">
        <x:v>navid-kermani-1ada18d1c8</x:v>
      </x:c>
      <x:c r="B96" s="20" t="str">
        <x:v>Navid Kermani</x:v>
      </x:c>
      <x:c r="C96" s="20" t="str">
        <x:v>Zwischen Koran und Kafka : west-östliche Erkundungen</x:v>
      </x:c>
      <x:c r="D96" s="20" t="n">
        <x:v>3</x:v>
      </x:c>
      <x:c r="E96" s="35" t="str">
        <x:v>CORE_FOR_WORK_CLUSTERING</x:v>
      </x:c>
      <x:c r="F96" s="20" t="str">
        <x:v>At least one German literary record without translation evidence.</x:v>
      </x:c>
      <x:c r="G96" s="20" t="str">
        <x:v>ger</x:v>
      </x:c>
      <x:c r="H96" s="20" t="n">
        <x:v>3</x:v>
      </x:c>
      <x:c r="I96" s="20" t="n">
        <x:v>3</x:v>
      </x:c>
      <x:c r="J96" s="20" t="n">
        <x:v>0</x:v>
      </x:c>
      <x:c r="K96" s="20" t="n">
        <x:v>3</x:v>
      </x:c>
      <x:c r="L96" s="20" t="str">
        <x:v>1127658069 | 1049955633 | 1064494277</x:v>
      </x:c>
    </x:row>
    <x:row r="97" ht="44" customHeight="1">
      <x:c r="A97" s="20" t="str">
        <x:v>navid-kermani-ca52c925d8</x:v>
      </x:c>
      <x:c r="B97" s="20" t="str">
        <x:v>Navid Kermani</x:v>
      </x:c>
      <x:c r="C97" s="20" t="str">
        <x:v>Über den Zufall : Jean Paul, Hölderlin und der Roman, den ich schreibe</x:v>
      </x:c>
      <x:c r="D97" s="20" t="n">
        <x:v>1</x:v>
      </x:c>
      <x:c r="E97" s="35" t="str">
        <x:v>CORE_FOR_WORK_CLUSTERING</x:v>
      </x:c>
      <x:c r="F97" s="20" t="str">
        <x:v>At least one German literary record without translation evidence.</x:v>
      </x:c>
      <x:c r="G97" s="20" t="str">
        <x:v>ger</x:v>
      </x:c>
      <x:c r="H97" s="20" t="n">
        <x:v>1</x:v>
      </x:c>
      <x:c r="I97" s="20" t="n">
        <x:v>1</x:v>
      </x:c>
      <x:c r="J97" s="20" t="n">
        <x:v>0</x:v>
      </x:c>
      <x:c r="K97" s="20" t="n">
        <x:v>1</x:v>
      </x:c>
      <x:c r="L97" s="20" t="str">
        <x:v>1043982809</x:v>
      </x:c>
    </x:row>
    <x:row r="98" ht="44" customHeight="1">
      <x:c r="A98" s="20" t="str">
        <x:v>navid-kermani-51dd2f95d0</x:v>
      </x:c>
      <x:c r="B98" s="20" t="str">
        <x:v>Navid Kermani</x:v>
      </x:c>
      <x:c r="C98" s="20" t="str">
        <x:v>Über den Zufall : Jean Paul, Hölderlin und der Roman, den ich schreibe ; Frankfurter Poetikvorlesungen</x:v>
      </x:c>
      <x:c r="D98" s="20" t="n">
        <x:v>1</x:v>
      </x:c>
      <x:c r="E98" s="35" t="str">
        <x:v>CORE_FOR_WORK_CLUSTERING</x:v>
      </x:c>
      <x:c r="F98" s="20" t="str">
        <x:v>At least one German literary record without translation evidence.</x:v>
      </x:c>
      <x:c r="G98" s="20" t="str">
        <x:v>ger</x:v>
      </x:c>
      <x:c r="H98" s="20" t="n">
        <x:v>1</x:v>
      </x:c>
      <x:c r="I98" s="20" t="n">
        <x:v>1</x:v>
      </x:c>
      <x:c r="J98" s="20" t="n">
        <x:v>0</x:v>
      </x:c>
      <x:c r="K98" s="20" t="n">
        <x:v>1</x:v>
      </x:c>
      <x:c r="L98" s="20" t="str">
        <x:v>1022502271</x:v>
      </x:c>
    </x:row>
    <x:row r="99" ht="44" customHeight="1">
      <x:c r="A99" s="20" t="str">
        <x:v>nava-ebrahimi-357839af15</x:v>
      </x:c>
      <x:c r="B99" s="20" t="str">
        <x:v>Nava Ebrahimi</x:v>
      </x:c>
      <x:c r="C99" s="20" t="str">
        <x:v>[Ebrahimi] ; Sedici parole</x:v>
      </x:c>
      <x:c r="D99" s="20" t="n">
        <x:v>1</x:v>
      </x:c>
      <x:c r="E99" s="36" t="str">
        <x:v>AUTO_EXCLUDE_NON_GERMAN</x:v>
      </x:c>
      <x:c r="F99" s="20" t="str">
        <x:v>All records are non-German publications.</x:v>
      </x:c>
      <x:c r="G99" s="20" t="str">
        <x:v>ita</x:v>
      </x:c>
      <x:c r="H99" s="20" t="n">
        <x:v>1</x:v>
      </x:c>
      <x:c r="I99" s="20" t="n">
        <x:v>0</x:v>
      </x:c>
      <x:c r="J99" s="20" t="n">
        <x:v>1</x:v>
      </x:c>
      <x:c r="K99" s="20" t="n">
        <x:v>0</x:v>
      </x:c>
      <x:c r="L99" s="20" t="str">
        <x:v>1248060946</x:v>
      </x:c>
    </x:row>
    <x:row r="100" ht="44" customHeight="1">
      <x:c r="A100" s="20" t="str">
        <x:v>nava-ebrahimi-6b4b590cbc</x:v>
      </x:c>
      <x:c r="B100" s="20" t="str">
        <x:v>Nava Ebrahimi</x:v>
      </x:c>
      <x:c r="C100" s="20" t="str">
        <x:v>[Sechzehn Wörter] ; Jūroku no kotoba</x:v>
      </x:c>
      <x:c r="D100" s="20" t="n">
        <x:v>1</x:v>
      </x:c>
      <x:c r="E100" s="36" t="str">
        <x:v>AUTO_EXCLUDE_NON_GERMAN</x:v>
      </x:c>
      <x:c r="F100" s="20" t="str">
        <x:v>All records are non-German publications.</x:v>
      </x:c>
      <x:c r="G100" s="20" t="str">
        <x:v>jpn</x:v>
      </x:c>
      <x:c r="H100" s="20" t="n">
        <x:v>0</x:v>
      </x:c>
      <x:c r="I100" s="20" t="n">
        <x:v>0</x:v>
      </x:c>
      <x:c r="J100" s="20" t="n">
        <x:v>0</x:v>
      </x:c>
      <x:c r="K100" s="20" t="n">
        <x:v>0</x:v>
      </x:c>
      <x:c r="L100" s="20" t="str">
        <x:v>1324706791</x:v>
      </x:c>
    </x:row>
    <x:row r="101" ht="44" customHeight="1">
      <x:c r="A101" s="20" t="str">
        <x:v>nava-ebrahimi-e41adeb79e</x:v>
      </x:c>
      <x:c r="B101" s="20" t="str">
        <x:v>Nava Ebrahimi</x:v>
      </x:c>
      <x:c r="C101" s="20" t="str">
        <x:v>Das Paradies meines Nachbarn : Roman</x:v>
      </x:c>
      <x:c r="D101" s="20" t="n">
        <x:v>3</x:v>
      </x:c>
      <x:c r="E101" s="35" t="str">
        <x:v>CORE_FOR_WORK_CLUSTERING</x:v>
      </x:c>
      <x:c r="F101" s="20" t="str">
        <x:v>At least one German literary record without translation evidence.</x:v>
      </x:c>
      <x:c r="G101" s="20" t="str">
        <x:v>ger</x:v>
      </x:c>
      <x:c r="H101" s="20" t="n">
        <x:v>3</x:v>
      </x:c>
      <x:c r="I101" s="20" t="n">
        <x:v>3</x:v>
      </x:c>
      <x:c r="J101" s="20" t="n">
        <x:v>0</x:v>
      </x:c>
      <x:c r="K101" s="20" t="n">
        <x:v>3</x:v>
      </x:c>
      <x:c r="L101" s="20" t="str">
        <x:v>125468977X | 1205253084 | 1198617861</x:v>
      </x:c>
    </x:row>
    <x:row r="102" ht="44" customHeight="1">
      <x:c r="A102" s="20" t="str">
        <x:v>nava-ebrahimi-91583889b6</x:v>
      </x:c>
      <x:c r="B102" s="20" t="str">
        <x:v>Nava Ebrahimi</x:v>
      </x:c>
      <x:c r="C102" s="20" t="str">
        <x:v>Drei Tage im Mai : Klagenfurter Rede zur Literatur 2025</x:v>
      </x:c>
      <x:c r="D102" s="20" t="n">
        <x:v>1</x:v>
      </x:c>
      <x:c r="E102" s="35" t="str">
        <x:v>CORE_FOR_WORK_CLUSTERING</x:v>
      </x:c>
      <x:c r="F102" s="20" t="str">
        <x:v>At least one German literary record without translation evidence.</x:v>
      </x:c>
      <x:c r="G102" s="20" t="str">
        <x:v>ger</x:v>
      </x:c>
      <x:c r="H102" s="20" t="n">
        <x:v>1</x:v>
      </x:c>
      <x:c r="I102" s="20" t="n">
        <x:v>1</x:v>
      </x:c>
      <x:c r="J102" s="20" t="n">
        <x:v>0</x:v>
      </x:c>
      <x:c r="K102" s="20" t="n">
        <x:v>1</x:v>
      </x:c>
      <x:c r="L102" s="20" t="str">
        <x:v>1368765122</x:v>
      </x:c>
    </x:row>
    <x:row r="103" ht="44" customHeight="1">
      <x:c r="A103" s="20" t="str">
        <x:v>nava-ebrahimi-88fb539104</x:v>
      </x:c>
      <x:c r="B103" s="20" t="str">
        <x:v>Nava Ebrahimi</x:v>
      </x:c>
      <x:c r="C103" s="20" t="str">
        <x:v>Einander : ein Buch, das Generationen verbindet</x:v>
      </x:c>
      <x:c r="D103" s="20" t="n">
        <x:v>1</x:v>
      </x:c>
      <x:c r="E103" s="36" t="str">
        <x:v>AUTO_EXCLUDE_NON_LITERARY</x:v>
      </x:c>
      <x:c r="F103" s="20" t="str">
        <x:v>German record(s), but no stated literary subject or genre signal.</x:v>
      </x:c>
      <x:c r="G103" s="20" t="str">
        <x:v>ger</x:v>
      </x:c>
      <x:c r="H103" s="20" t="n">
        <x:v>0</x:v>
      </x:c>
      <x:c r="I103" s="20" t="n">
        <x:v>1</x:v>
      </x:c>
      <x:c r="J103" s="20" t="n">
        <x:v>0</x:v>
      </x:c>
      <x:c r="K103" s="20" t="n">
        <x:v>0</x:v>
      </x:c>
      <x:c r="L103" s="20" t="str">
        <x:v>1232512869</x:v>
      </x:c>
    </x:row>
    <x:row r="104" ht="44" customHeight="1">
      <x:c r="A104" s="20" t="str">
        <x:v>nava-ebrahimi-d7fe0944e8</x:v>
      </x:c>
      <x:c r="B104" s="20" t="str">
        <x:v>Nava Ebrahimi</x:v>
      </x:c>
      <x:c r="C104" s="20" t="str">
        <x:v>Guerrilla der Aufklärung/Guerilla of Enlightenment</x:v>
      </x:c>
      <x:c r="D104" s="20" t="n">
        <x:v>1</x:v>
      </x:c>
      <x:c r="E104" s="36" t="str">
        <x:v>AUTO_EXCLUDE_NON_LITERARY</x:v>
      </x:c>
      <x:c r="F104" s="20" t="str">
        <x:v>German record(s), but no stated literary subject or genre signal.</x:v>
      </x:c>
      <x:c r="G104" s="20" t="str">
        <x:v>eng | ger</x:v>
      </x:c>
      <x:c r="H104" s="20" t="n">
        <x:v>0</x:v>
      </x:c>
      <x:c r="I104" s="20" t="n">
        <x:v>1</x:v>
      </x:c>
      <x:c r="J104" s="20" t="n">
        <x:v>0</x:v>
      </x:c>
      <x:c r="K104" s="20" t="n">
        <x:v>0</x:v>
      </x:c>
      <x:c r="L104" s="20" t="str">
        <x:v>1211752623</x:v>
      </x:c>
    </x:row>
    <x:row r="105" ht="44" customHeight="1">
      <x:c r="A105" s="20" t="str">
        <x:v>nava-ebrahimi-e41f95888d</x:v>
      </x:c>
      <x:c r="B105" s="20" t="str">
        <x:v>Nava Ebrahimi</x:v>
      </x:c>
      <x:c r="C105" s="20" t="str">
        <x:v>Sechzehn Wörter : Roman</x:v>
      </x:c>
      <x:c r="D105" s="20" t="n">
        <x:v>4</x:v>
      </x:c>
      <x:c r="E105" s="35" t="str">
        <x:v>CORE_FOR_WORK_CLUSTERING</x:v>
      </x:c>
      <x:c r="F105" s="20" t="str">
        <x:v>At least one German literary record without translation evidence.</x:v>
      </x:c>
      <x:c r="G105" s="20" t="str">
        <x:v>ger</x:v>
      </x:c>
      <x:c r="H105" s="20" t="n">
        <x:v>4</x:v>
      </x:c>
      <x:c r="I105" s="20" t="n">
        <x:v>4</x:v>
      </x:c>
      <x:c r="J105" s="20" t="n">
        <x:v>0</x:v>
      </x:c>
      <x:c r="K105" s="20" t="n">
        <x:v>4</x:v>
      </x:c>
      <x:c r="L105" s="20" t="str">
        <x:v>1258988402 | 1156227062 | 1128569493 | 1119738180</x:v>
      </x:c>
    </x:row>
    <x:row r="106" ht="44" customHeight="1">
      <x:c r="A106" s="20" t="str">
        <x:v>nava-ebrahimi-8551e60e56</x:v>
      </x:c>
      <x:c r="B106" s="20" t="str">
        <x:v>Nava Ebrahimi</x:v>
      </x:c>
      <x:c r="C106" s="20" t="str">
        <x:v>Und Federn überall : Roman</x:v>
      </x:c>
      <x:c r="D106" s="20" t="n">
        <x:v>1</x:v>
      </x:c>
      <x:c r="E106" s="35" t="str">
        <x:v>CORE_FOR_WORK_CLUSTERING</x:v>
      </x:c>
      <x:c r="F106" s="20" t="str">
        <x:v>At least one German literary record without translation evidence.</x:v>
      </x:c>
      <x:c r="G106" s="20" t="str">
        <x:v>ger</x:v>
      </x:c>
      <x:c r="H106" s="20" t="n">
        <x:v>1</x:v>
      </x:c>
      <x:c r="I106" s="20" t="n">
        <x:v>1</x:v>
      </x:c>
      <x:c r="J106" s="20" t="n">
        <x:v>0</x:v>
      </x:c>
      <x:c r="K106" s="20" t="n">
        <x:v>1</x:v>
      </x:c>
      <x:c r="L106" s="20" t="str">
        <x:v>1361913916</x:v>
      </x:c>
    </x:row>
    <x:row r="107" ht="44" customHeight="1">
      <x:c r="A107" s="20" t="str">
        <x:v>nava-ebrahimi-cb657c0f1c</x:v>
      </x:c>
      <x:c r="B107" s="20" t="str">
        <x:v>Nava Ebrahimi</x:v>
      </x:c>
      <x:c r="C107" s="20" t="str">
        <x:v>Und Federn überall : Roman - Nominiert für den Deutschen Buchpreis 2025</x:v>
      </x:c>
      <x:c r="D107" s="20" t="n">
        <x:v>1</x:v>
      </x:c>
      <x:c r="E107" s="35" t="str">
        <x:v>CORE_FOR_WORK_CLUSTERING</x:v>
      </x:c>
      <x:c r="F107" s="20" t="str">
        <x:v>At least one German literary record without translation evidence.</x:v>
      </x:c>
      <x:c r="G107" s="20" t="str">
        <x:v>ger</x:v>
      </x:c>
      <x:c r="H107" s="20" t="n">
        <x:v>1</x:v>
      </x:c>
      <x:c r="I107" s="20" t="n">
        <x:v>1</x:v>
      </x:c>
      <x:c r="J107" s="20" t="n">
        <x:v>0</x:v>
      </x:c>
      <x:c r="K107" s="20" t="n">
        <x:v>1</x:v>
      </x:c>
      <x:c r="L107" s="20" t="str">
        <x:v>1374673633</x:v>
      </x:c>
    </x:row>
    <x:row r="108" ht="44" customHeight="1">
      <x:c r="A108" s="20" t="str">
        <x:v>nava-ebrahimi-342fd17520</x:v>
      </x:c>
      <x:c r="B108" s="20" t="str">
        <x:v>Nava Ebrahimi</x:v>
      </x:c>
      <x:c r="C108" s="20" t="str">
        <x:v>Wer ich geworden wäre, wenn alles ganz anders gekommen wäre : Herkunft, Identität, Imagination</x:v>
      </x:c>
      <x:c r="D108" s="20" t="n">
        <x:v>1</x:v>
      </x:c>
      <x:c r="E108" s="35" t="str">
        <x:v>CORE_FOR_WORK_CLUSTERING</x:v>
      </x:c>
      <x:c r="F108" s="20" t="str">
        <x:v>At least one German literary record without translation evidence.</x:v>
      </x:c>
      <x:c r="G108" s="20" t="str">
        <x:v>ger</x:v>
      </x:c>
      <x:c r="H108" s="20" t="n">
        <x:v>1</x:v>
      </x:c>
      <x:c r="I108" s="20" t="n">
        <x:v>1</x:v>
      </x:c>
      <x:c r="J108" s="20" t="n">
        <x:v>0</x:v>
      </x:c>
      <x:c r="K108" s="20" t="n">
        <x:v>1</x:v>
      </x:c>
      <x:c r="L108" s="20" t="str">
        <x:v>1310302111</x:v>
      </x:c>
    </x:row>
    <x:row r="109" ht="44" customHeight="1">
      <x:c r="A109" s="20" t="str">
        <x:v>shida-bazyar-0a8bf719b6</x:v>
      </x:c>
      <x:c r="B109" s="20" t="str">
        <x:v>Shida Bazyar</x:v>
      </x:c>
      <x:c r="C109" s="20" t="str">
        <x:v>[Bazyar] ; Bornemann sokaği'nda Yangin : roman</x:v>
      </x:c>
      <x:c r="D109" s="20" t="n">
        <x:v>1</x:v>
      </x:c>
      <x:c r="E109" s="36" t="str">
        <x:v>AUTO_EXCLUDE_NON_GERMAN</x:v>
      </x:c>
      <x:c r="F109" s="20" t="str">
        <x:v>All records are non-German publications.</x:v>
      </x:c>
      <x:c r="G109" s="20" t="str">
        <x:v>tur</x:v>
      </x:c>
      <x:c r="H109" s="20" t="n">
        <x:v>1</x:v>
      </x:c>
      <x:c r="I109" s="20" t="n">
        <x:v>0</x:v>
      </x:c>
      <x:c r="J109" s="20" t="n">
        <x:v>1</x:v>
      </x:c>
      <x:c r="K109" s="20" t="n">
        <x:v>0</x:v>
      </x:c>
      <x:c r="L109" s="20" t="str">
        <x:v>1392463548</x:v>
      </x:c>
    </x:row>
    <x:row r="110" ht="44" customHeight="1">
      <x:c r="A110" s="20" t="str">
        <x:v>shida-bazyar-3ebeeeb5a4</x:v>
      </x:c>
      <x:c r="B110" s="20" t="str">
        <x:v>Shida Bazyar</x:v>
      </x:c>
      <x:c r="C110" s="20" t="str">
        <x:v>[Bazyar] ; Drei Kameradinnen : Roman</x:v>
      </x:c>
      <x:c r="D110" s="20" t="n">
        <x:v>1</x:v>
      </x:c>
      <x:c r="E110" s="35" t="str">
        <x:v>CORE_FOR_WORK_CLUSTERING</x:v>
      </x:c>
      <x:c r="F110" s="20" t="str">
        <x:v>At least one German literary record without translation evidence.</x:v>
      </x:c>
      <x:c r="G110" s="20" t="str">
        <x:v>ger</x:v>
      </x:c>
      <x:c r="H110" s="20" t="n">
        <x:v>1</x:v>
      </x:c>
      <x:c r="I110" s="20" t="n">
        <x:v>1</x:v>
      </x:c>
      <x:c r="J110" s="20" t="n">
        <x:v>0</x:v>
      </x:c>
      <x:c r="K110" s="20" t="n">
        <x:v>1</x:v>
      </x:c>
      <x:c r="L110" s="20" t="str">
        <x:v>1220615927</x:v>
      </x:c>
    </x:row>
    <x:row r="111" ht="44" customHeight="1">
      <x:c r="A111" s="20" t="str">
        <x:v>shida-bazyar-3c6d9844e6</x:v>
      </x:c>
      <x:c r="B111" s="20" t="str">
        <x:v>Shida Bazyar</x:v>
      </x:c>
      <x:c r="C111" s="20" t="str">
        <x:v>[Bazyar] ; Nas tri</x:v>
      </x:c>
      <x:c r="D111" s="20" t="n">
        <x:v>1</x:v>
      </x:c>
      <x:c r="E111" s="36" t="str">
        <x:v>AUTO_EXCLUDE_NON_GERMAN</x:v>
      </x:c>
      <x:c r="F111" s="20" t="str">
        <x:v>All records are non-German publications.</x:v>
      </x:c>
      <x:c r="G111" s="20" t="str">
        <x:v>hrv</x:v>
      </x:c>
      <x:c r="H111" s="20" t="n">
        <x:v>1</x:v>
      </x:c>
      <x:c r="I111" s="20" t="n">
        <x:v>0</x:v>
      </x:c>
      <x:c r="J111" s="20" t="n">
        <x:v>1</x:v>
      </x:c>
      <x:c r="K111" s="20" t="n">
        <x:v>0</x:v>
      </x:c>
      <x:c r="L111" s="20" t="str">
        <x:v>1280534753</x:v>
      </x:c>
    </x:row>
    <x:row r="112" ht="44" customHeight="1">
      <x:c r="A112" s="20" t="str">
        <x:v>shida-bazyar-9706b69731</x:v>
      </x:c>
      <x:c r="B112" s="20" t="str">
        <x:v>Shida Bazyar</x:v>
      </x:c>
      <x:c r="C112" s="20" t="str">
        <x:v>[Bazyar] ; Sisters in arms</x:v>
      </x:c>
      <x:c r="D112" s="20" t="n">
        <x:v>1</x:v>
      </x:c>
      <x:c r="E112" s="36" t="str">
        <x:v>AUTO_EXCLUDE_NON_GERMAN</x:v>
      </x:c>
      <x:c r="F112" s="20" t="str">
        <x:v>All records are non-German publications.</x:v>
      </x:c>
      <x:c r="G112" s="20" t="str">
        <x:v>eng</x:v>
      </x:c>
      <x:c r="H112" s="20" t="n">
        <x:v>1</x:v>
      </x:c>
      <x:c r="I112" s="20" t="n">
        <x:v>0</x:v>
      </x:c>
      <x:c r="J112" s="20" t="n">
        <x:v>1</x:v>
      </x:c>
      <x:c r="K112" s="20" t="n">
        <x:v>0</x:v>
      </x:c>
      <x:c r="L112" s="20" t="str">
        <x:v>1300138734</x:v>
      </x:c>
    </x:row>
    <x:row r="113" ht="44" customHeight="1">
      <x:c r="A113" s="20" t="str">
        <x:v>shida-bazyar-2373389bdc</x:v>
      </x:c>
      <x:c r="B113" s="20" t="str">
        <x:v>Shida Bazyar</x:v>
      </x:c>
      <x:c r="C113" s="20" t="str">
        <x:v>[Bazyar] ; Vuur</x:v>
      </x:c>
      <x:c r="D113" s="20" t="n">
        <x:v>1</x:v>
      </x:c>
      <x:c r="E113" s="36" t="str">
        <x:v>AUTO_EXCLUDE_NON_GERMAN</x:v>
      </x:c>
      <x:c r="F113" s="20" t="str">
        <x:v>All records are non-German publications.</x:v>
      </x:c>
      <x:c r="G113" s="20" t="str">
        <x:v>dut</x:v>
      </x:c>
      <x:c r="H113" s="20" t="n">
        <x:v>1</x:v>
      </x:c>
      <x:c r="I113" s="20" t="n">
        <x:v>0</x:v>
      </x:c>
      <x:c r="J113" s="20" t="n">
        <x:v>1</x:v>
      </x:c>
      <x:c r="K113" s="20" t="n">
        <x:v>0</x:v>
      </x:c>
      <x:c r="L113" s="20" t="str">
        <x:v>1281752231</x:v>
      </x:c>
    </x:row>
    <x:row r="114" ht="44" customHeight="1">
      <x:c r="A114" s="20" t="str">
        <x:v>shida-bazyar-9d25396001</x:v>
      </x:c>
      <x:c r="B114" s="20" t="str">
        <x:v>Shida Bazyar</x:v>
      </x:c>
      <x:c r="C114" s="20" t="str">
        <x:v>[Drei Kameradinnen] ; Banafshe Hourmazdi liest Drei Kameradinnen</x:v>
      </x:c>
      <x:c r="D114" s="20" t="n">
        <x:v>2</x:v>
      </x:c>
      <x:c r="E114" s="35" t="str">
        <x:v>CORE_FOR_WORK_CLUSTERING</x:v>
      </x:c>
      <x:c r="F114" s="20" t="str">
        <x:v>At least one German literary record without translation evidence.</x:v>
      </x:c>
      <x:c r="G114" s="20" t="str">
        <x:v>ger</x:v>
      </x:c>
      <x:c r="H114" s="20" t="n">
        <x:v>2</x:v>
      </x:c>
      <x:c r="I114" s="20" t="n">
        <x:v>2</x:v>
      </x:c>
      <x:c r="J114" s="20" t="n">
        <x:v>0</x:v>
      </x:c>
      <x:c r="K114" s="20" t="n">
        <x:v>2</x:v>
      </x:c>
      <x:c r="L114" s="20" t="str">
        <x:v>1264409540 | 1220308730</x:v>
      </x:c>
    </x:row>
    <x:row r="115" ht="44" customHeight="1">
      <x:c r="A115" s="20" t="str">
        <x:v>shida-bazyar-45644a0804</x:v>
      </x:c>
      <x:c r="B115" s="20" t="str">
        <x:v>Shida Bazyar</x:v>
      </x:c>
      <x:c r="C115" s="20" t="str">
        <x:v>[Drei Kameradinnen] ; Fuoco</x:v>
      </x:c>
      <x:c r="D115" s="20" t="n">
        <x:v>1</x:v>
      </x:c>
      <x:c r="E115" s="36" t="str">
        <x:v>AUTO_EXCLUDE_NON_GERMAN</x:v>
      </x:c>
      <x:c r="F115" s="20" t="str">
        <x:v>All records are non-German publications.</x:v>
      </x:c>
      <x:c r="G115" s="20" t="str">
        <x:v>ita</x:v>
      </x:c>
      <x:c r="H115" s="20" t="n">
        <x:v>1</x:v>
      </x:c>
      <x:c r="I115" s="20" t="n">
        <x:v>0</x:v>
      </x:c>
      <x:c r="J115" s="20" t="n">
        <x:v>0</x:v>
      </x:c>
      <x:c r="K115" s="20" t="n">
        <x:v>0</x:v>
      </x:c>
      <x:c r="L115" s="20" t="str">
        <x:v>1258292270</x:v>
      </x:c>
    </x:row>
    <x:row r="116" ht="44" customHeight="1">
      <x:c r="A116" s="20" t="str">
        <x:v>shida-bazyar-10391b8f10</x:v>
      </x:c>
      <x:c r="B116" s="20" t="str">
        <x:v>Shida Bazyar</x:v>
      </x:c>
      <x:c r="C116" s="20" t="str">
        <x:v>[Nachts ist es leise in Teheran] ; 's Nachts is het stil in Teheran : roman</x:v>
      </x:c>
      <x:c r="D116" s="20" t="n">
        <x:v>1</x:v>
      </x:c>
      <x:c r="E116" s="36" t="str">
        <x:v>AUTO_EXCLUDE_NON_GERMAN</x:v>
      </x:c>
      <x:c r="F116" s="20" t="str">
        <x:v>All records are non-German publications.</x:v>
      </x:c>
      <x:c r="G116" s="20" t="str">
        <x:v>dut</x:v>
      </x:c>
      <x:c r="H116" s="20" t="n">
        <x:v>1</x:v>
      </x:c>
      <x:c r="I116" s="20" t="n">
        <x:v>0</x:v>
      </x:c>
      <x:c r="J116" s="20" t="n">
        <x:v>0</x:v>
      </x:c>
      <x:c r="K116" s="20" t="n">
        <x:v>0</x:v>
      </x:c>
      <x:c r="L116" s="20" t="str">
        <x:v>1127249908</x:v>
      </x:c>
    </x:row>
    <x:row r="117" ht="44" customHeight="1">
      <x:c r="A117" s="20" t="str">
        <x:v>shida-bazyar-46aa8b9431</x:v>
      </x:c>
      <x:c r="B117" s="20" t="str">
        <x:v>Shida Bazyar</x:v>
      </x:c>
      <x:c r="C117" s="20" t="str">
        <x:v>[Nachts ist es leise in Teheran] ; Di notte tutto è silenzio a Teheran : romanzo</x:v>
      </x:c>
      <x:c r="D117" s="20" t="n">
        <x:v>1</x:v>
      </x:c>
      <x:c r="E117" s="36" t="str">
        <x:v>AUTO_EXCLUDE_NON_GERMAN</x:v>
      </x:c>
      <x:c r="F117" s="20" t="str">
        <x:v>All records are non-German publications.</x:v>
      </x:c>
      <x:c r="G117" s="20" t="str">
        <x:v>ita</x:v>
      </x:c>
      <x:c r="H117" s="20" t="n">
        <x:v>1</x:v>
      </x:c>
      <x:c r="I117" s="20" t="n">
        <x:v>0</x:v>
      </x:c>
      <x:c r="J117" s="20" t="n">
        <x:v>0</x:v>
      </x:c>
      <x:c r="K117" s="20" t="n">
        <x:v>0</x:v>
      </x:c>
      <x:c r="L117" s="20" t="str">
        <x:v>1300890312</x:v>
      </x:c>
    </x:row>
    <x:row r="118" ht="44" customHeight="1">
      <x:c r="A118" s="20" t="str">
        <x:v>shida-bazyar-4d5e4a85b9</x:v>
      </x:c>
      <x:c r="B118" s="20" t="str">
        <x:v>Shida Bazyar</x:v>
      </x:c>
      <x:c r="C118" s="20" t="str">
        <x:v>[Nachts ist es leise in Teheran] ; Geceleri sessizdir Tahran</x:v>
      </x:c>
      <x:c r="D118" s="20" t="n">
        <x:v>1</x:v>
      </x:c>
      <x:c r="E118" s="36" t="str">
        <x:v>AUTO_EXCLUDE_NON_GERMAN</x:v>
      </x:c>
      <x:c r="F118" s="20" t="str">
        <x:v>All records are non-German publications.</x:v>
      </x:c>
      <x:c r="G118" s="20" t="str">
        <x:v>tur</x:v>
      </x:c>
      <x:c r="H118" s="20" t="n">
        <x:v>1</x:v>
      </x:c>
      <x:c r="I118" s="20" t="n">
        <x:v>0</x:v>
      </x:c>
      <x:c r="J118" s="20" t="n">
        <x:v>0</x:v>
      </x:c>
      <x:c r="K118" s="20" t="n">
        <x:v>0</x:v>
      </x:c>
      <x:c r="L118" s="20" t="str">
        <x:v>1122206011</x:v>
      </x:c>
    </x:row>
    <x:row r="119" ht="44" customHeight="1">
      <x:c r="A119" s="20" t="str">
        <x:v>shida-bazyar-4d40043e7d</x:v>
      </x:c>
      <x:c r="B119" s="20" t="str">
        <x:v>Shida Bazyar</x:v>
      </x:c>
      <x:c r="C119" s="20" t="str">
        <x:v>[Nachts ist es leise in Teheran] ; Les nuits sont calmes à Téhéran</x:v>
      </x:c>
      <x:c r="D119" s="20" t="n">
        <x:v>1</x:v>
      </x:c>
      <x:c r="E119" s="36" t="str">
        <x:v>AUTO_EXCLUDE_NON_GERMAN</x:v>
      </x:c>
      <x:c r="F119" s="20" t="str">
        <x:v>All records are non-German publications.</x:v>
      </x:c>
      <x:c r="G119" s="20" t="str">
        <x:v>fre</x:v>
      </x:c>
      <x:c r="H119" s="20" t="n">
        <x:v>1</x:v>
      </x:c>
      <x:c r="I119" s="20" t="n">
        <x:v>0</x:v>
      </x:c>
      <x:c r="J119" s="20" t="n">
        <x:v>1</x:v>
      </x:c>
      <x:c r="K119" s="20" t="n">
        <x:v>0</x:v>
      </x:c>
      <x:c r="L119" s="20" t="str">
        <x:v>1153035472</x:v>
      </x:c>
    </x:row>
    <x:row r="120" ht="44" customHeight="1">
      <x:c r="A120" s="20" t="str">
        <x:v>shida-bazyar-3535faad2f</x:v>
      </x:c>
      <x:c r="B120" s="20" t="str">
        <x:v>Shida Bazyar</x:v>
      </x:c>
      <x:c r="C120" s="20" t="str">
        <x:v>[Nachts ist es leise in Teheran] ; The nights are quiet in Tehran</x:v>
      </x:c>
      <x:c r="D120" s="20" t="n">
        <x:v>1</x:v>
      </x:c>
      <x:c r="E120" s="36" t="str">
        <x:v>AUTO_EXCLUDE_NON_GERMAN</x:v>
      </x:c>
      <x:c r="F120" s="20" t="str">
        <x:v>All records are non-German publications.</x:v>
      </x:c>
      <x:c r="G120" s="20" t="str">
        <x:v>eng</x:v>
      </x:c>
      <x:c r="H120" s="20" t="n">
        <x:v>1</x:v>
      </x:c>
      <x:c r="I120" s="20" t="n">
        <x:v>0</x:v>
      </x:c>
      <x:c r="J120" s="20" t="n">
        <x:v>1</x:v>
      </x:c>
      <x:c r="K120" s="20" t="n">
        <x:v>0</x:v>
      </x:c>
      <x:c r="L120" s="20" t="str">
        <x:v>1364877716</x:v>
      </x:c>
    </x:row>
    <x:row r="121" ht="44" customHeight="1">
      <x:c r="A121" s="20" t="str">
        <x:v>shida-bazyar-821a98a1a2</x:v>
      </x:c>
      <x:c r="B121" s="20" t="str">
        <x:v>Shida Bazyar</x:v>
      </x:c>
      <x:c r="C121" s="20" t="str">
        <x:v>[Nachts ist es leise in Teheran] ; Šabhā Tihrān ārām ast = Tehran is quiet at night</x:v>
      </x:c>
      <x:c r="D121" s="20" t="n">
        <x:v>1</x:v>
      </x:c>
      <x:c r="E121" s="36" t="str">
        <x:v>AUTO_EXCLUDE_NON_GERMAN</x:v>
      </x:c>
      <x:c r="F121" s="20" t="str">
        <x:v>All records are non-German publications.</x:v>
      </x:c>
      <x:c r="G121" s="20" t="str">
        <x:v>per</x:v>
      </x:c>
      <x:c r="H121" s="20" t="n">
        <x:v>1</x:v>
      </x:c>
      <x:c r="I121" s="20" t="n">
        <x:v>0</x:v>
      </x:c>
      <x:c r="J121" s="20" t="n">
        <x:v>0</x:v>
      </x:c>
      <x:c r="K121" s="20" t="n">
        <x:v>0</x:v>
      </x:c>
      <x:c r="L121" s="20" t="str">
        <x:v>1227774087</x:v>
      </x:c>
    </x:row>
    <x:row r="122" ht="44" customHeight="1">
      <x:c r="A122" s="20" t="str">
        <x:v>shida-bazyar-646b37790b</x:v>
      </x:c>
      <x:c r="B122" s="20" t="str">
        <x:v>Shida Bazyar</x:v>
      </x:c>
      <x:c r="C122" s="20" t="str">
        <x:v>Die Lücken : Roman | Nominiert für den Deutschen Buchpreis 2026</x:v>
      </x:c>
      <x:c r="D122" s="20" t="n">
        <x:v>2</x:v>
      </x:c>
      <x:c r="E122" s="35" t="str">
        <x:v>CORE_FOR_WORK_CLUSTERING</x:v>
      </x:c>
      <x:c r="F122" s="20" t="str">
        <x:v>At least one German literary record without translation evidence.</x:v>
      </x:c>
      <x:c r="G122" s="20" t="str">
        <x:v>ger</x:v>
      </x:c>
      <x:c r="H122" s="20" t="n">
        <x:v>2</x:v>
      </x:c>
      <x:c r="I122" s="20" t="n">
        <x:v>2</x:v>
      </x:c>
      <x:c r="J122" s="20" t="n">
        <x:v>0</x:v>
      </x:c>
      <x:c r="K122" s="20" t="n">
        <x:v>2</x:v>
      </x:c>
      <x:c r="L122" s="20" t="str">
        <x:v>1418256048 | 1395506272</x:v>
      </x:c>
    </x:row>
    <x:row r="123" ht="44" customHeight="1">
      <x:c r="A123" s="20" t="str">
        <x:v>shida-bazyar-98ff96b60d</x:v>
      </x:c>
      <x:c r="B123" s="20" t="str">
        <x:v>Shida Bazyar</x:v>
      </x:c>
      <x:c r="C123" s="20" t="str">
        <x:v>Drei Kameradinnen : Roman</x:v>
      </x:c>
      <x:c r="D123" s="20" t="n">
        <x:v>3</x:v>
      </x:c>
      <x:c r="E123" s="35" t="str">
        <x:v>CORE_FOR_WORK_CLUSTERING</x:v>
      </x:c>
      <x:c r="F123" s="20" t="str">
        <x:v>At least one German literary record without translation evidence.</x:v>
      </x:c>
      <x:c r="G123" s="20" t="str">
        <x:v>ger</x:v>
      </x:c>
      <x:c r="H123" s="20" t="n">
        <x:v>3</x:v>
      </x:c>
      <x:c r="I123" s="20" t="n">
        <x:v>3</x:v>
      </x:c>
      <x:c r="J123" s="20" t="n">
        <x:v>0</x:v>
      </x:c>
      <x:c r="K123" s="20" t="n">
        <x:v>3</x:v>
      </x:c>
      <x:c r="L123" s="20" t="str">
        <x:v>1255717874 | 1255717203 | 1236108337</x:v>
      </x:c>
    </x:row>
    <x:row r="124" ht="44" customHeight="1">
      <x:c r="A124" s="20" t="str">
        <x:v>shida-bazyar-8088ff611e</x:v>
      </x:c>
      <x:c r="B124" s="20" t="str">
        <x:v>Shida Bazyar</x:v>
      </x:c>
      <x:c r="C124" s="20" t="str">
        <x:v>Nachts ist es leise in Teheran : Roman</x:v>
      </x:c>
      <x:c r="D124" s="20" t="n">
        <x:v>3</x:v>
      </x:c>
      <x:c r="E124" s="35" t="str">
        <x:v>CORE_FOR_WORK_CLUSTERING</x:v>
      </x:c>
      <x:c r="F124" s="20" t="str">
        <x:v>At least one German literary record without translation evidence.</x:v>
      </x:c>
      <x:c r="G124" s="20" t="str">
        <x:v>ger</x:v>
      </x:c>
      <x:c r="H124" s="20" t="n">
        <x:v>3</x:v>
      </x:c>
      <x:c r="I124" s="20" t="n">
        <x:v>3</x:v>
      </x:c>
      <x:c r="J124" s="20" t="n">
        <x:v>0</x:v>
      </x:c>
      <x:c r="K124" s="20" t="n">
        <x:v>3</x:v>
      </x:c>
      <x:c r="L124" s="20" t="str">
        <x:v>113117870X | 110269245X | 1079018891</x:v>
      </x:c>
    </x:row>
    <x:row r="125" ht="44" customHeight="1">
      <x:c r="A125" s="20" t="str">
        <x:v>shida-bazyar-40b1e3284e</x:v>
      </x:c>
      <x:c r="B125" s="20" t="str">
        <x:v>Shida Bazyar</x:v>
      </x:c>
      <x:c r="C125" s="20" t="str">
        <x:v>Networking Remarque : Zum 125. Geburtstag Erich Maria Remarques</x:v>
      </x:c>
      <x:c r="D125" s="20" t="n">
        <x:v>1</x:v>
      </x:c>
      <x:c r="E125" s="35" t="str">
        <x:v>CORE_FOR_WORK_CLUSTERING</x:v>
      </x:c>
      <x:c r="F125" s="20" t="str">
        <x:v>At least one German literary record without translation evidence.</x:v>
      </x:c>
      <x:c r="G125" s="20" t="str">
        <x:v>ger</x:v>
      </x:c>
      <x:c r="H125" s="20" t="n">
        <x:v>1</x:v>
      </x:c>
      <x:c r="I125" s="20" t="n">
        <x:v>1</x:v>
      </x:c>
      <x:c r="J125" s="20" t="n">
        <x:v>0</x:v>
      </x:c>
      <x:c r="K125" s="20" t="n">
        <x:v>1</x:v>
      </x:c>
      <x:c r="L125" s="20" t="str">
        <x:v>1318623588</x:v>
      </x:c>
    </x:row>
    <x:row r="126" ht="44" customHeight="1">
      <x:c r="A126" s="20" t="str">
        <x:v>said-e06bcbf62a</x:v>
      </x:c>
      <x:c r="B126" s="20" t="str">
        <x:v>SAID</x:v>
      </x:c>
      <x:c r="C126" s="20" t="str">
        <x:v>[Dieses Tier, das es nicht gibt] ; Životinja koje nema : bestijarijum</x:v>
      </x:c>
      <x:c r="D126" s="20" t="n">
        <x:v>1</x:v>
      </x:c>
      <x:c r="E126" s="36" t="str">
        <x:v>AUTO_EXCLUDE_NON_GERMAN</x:v>
      </x:c>
      <x:c r="F126" s="20" t="str">
        <x:v>All records are non-German publications.</x:v>
      </x:c>
      <x:c r="G126" s="20" t="str">
        <x:v>srp</x:v>
      </x:c>
      <x:c r="H126" s="20" t="n">
        <x:v>1</x:v>
      </x:c>
      <x:c r="I126" s="20" t="n">
        <x:v>0</x:v>
      </x:c>
      <x:c r="J126" s="20" t="n">
        <x:v>0</x:v>
      </x:c>
      <x:c r="K126" s="20" t="n">
        <x:v>0</x:v>
      </x:c>
      <x:c r="L126" s="20" t="str">
        <x:v>1136379193</x:v>
      </x:c>
    </x:row>
    <x:row r="127" ht="44" customHeight="1">
      <x:c r="A127" s="20" t="str">
        <x:v>said-9d6eb0945a</x:v>
      </x:c>
      <x:c r="B127" s="20" t="str">
        <x:v>SAID</x:v>
      </x:c>
      <x:c r="C127" s="20" t="str">
        <x:v>Ar-Ar und Bobo</x:v>
      </x:c>
      <x:c r="D127" s="20" t="n">
        <x:v>1</x:v>
      </x:c>
      <x:c r="E127" s="35" t="str">
        <x:v>CORE_FOR_WORK_CLUSTERING</x:v>
      </x:c>
      <x:c r="F127" s="20" t="str">
        <x:v>At least one German literary record without translation evidence.</x:v>
      </x:c>
      <x:c r="G127" s="20" t="str">
        <x:v>ger</x:v>
      </x:c>
      <x:c r="H127" s="20" t="n">
        <x:v>1</x:v>
      </x:c>
      <x:c r="I127" s="20" t="n">
        <x:v>1</x:v>
      </x:c>
      <x:c r="J127" s="20" t="n">
        <x:v>0</x:v>
      </x:c>
      <x:c r="K127" s="20" t="n">
        <x:v>1</x:v>
      </x:c>
      <x:c r="L127" s="20" t="str">
        <x:v>124719454X</x:v>
      </x:c>
    </x:row>
    <x:row r="128" ht="44" customHeight="1">
      <x:c r="A128" s="20" t="str">
        <x:v>said-9003a281e5</x:v>
      </x:c>
      <x:c r="B128" s="20" t="str">
        <x:v>SAID</x:v>
      </x:c>
      <x:c r="C128" s="20" t="str">
        <x:v>Auf der Suche nach dem Licht</x:v>
      </x:c>
      <x:c r="D128" s="20" t="n">
        <x:v>1</x:v>
      </x:c>
      <x:c r="E128" s="35" t="str">
        <x:v>CORE_FOR_WORK_CLUSTERING</x:v>
      </x:c>
      <x:c r="F128" s="20" t="str">
        <x:v>At least one German literary record without translation evidence.</x:v>
      </x:c>
      <x:c r="G128" s="20" t="str">
        <x:v>ger</x:v>
      </x:c>
      <x:c r="H128" s="20" t="n">
        <x:v>1</x:v>
      </x:c>
      <x:c r="I128" s="20" t="n">
        <x:v>1</x:v>
      </x:c>
      <x:c r="J128" s="20" t="n">
        <x:v>0</x:v>
      </x:c>
      <x:c r="K128" s="20" t="n">
        <x:v>1</x:v>
      </x:c>
      <x:c r="L128" s="20" t="str">
        <x:v>1097224961</x:v>
      </x:c>
    </x:row>
    <x:row r="129" ht="44" customHeight="1">
      <x:c r="A129" s="20" t="str">
        <x:v>said-bf5497e34f</x:v>
      </x:c>
      <x:c r="B129" s="20" t="str">
        <x:v>SAID</x:v>
      </x:c>
      <x:c r="C129" s="20" t="str">
        <x:v>Außenhaut, Binnenträume : Gedichte</x:v>
      </x:c>
      <x:c r="D129" s="20" t="n">
        <x:v>1</x:v>
      </x:c>
      <x:c r="E129" s="35" t="str">
        <x:v>CORE_FOR_WORK_CLUSTERING</x:v>
      </x:c>
      <x:c r="F129" s="20" t="str">
        <x:v>At least one German literary record without translation evidence.</x:v>
      </x:c>
      <x:c r="G129" s="20" t="str">
        <x:v>ger</x:v>
      </x:c>
      <x:c r="H129" s="20" t="n">
        <x:v>1</x:v>
      </x:c>
      <x:c r="I129" s="20" t="n">
        <x:v>1</x:v>
      </x:c>
      <x:c r="J129" s="20" t="n">
        <x:v>0</x:v>
      </x:c>
      <x:c r="K129" s="20" t="n">
        <x:v>1</x:v>
      </x:c>
      <x:c r="L129" s="20" t="str">
        <x:v>964834383</x:v>
      </x:c>
    </x:row>
    <x:row r="130" ht="44" customHeight="1">
      <x:c r="A130" s="20" t="str">
        <x:v>said-642d996f85</x:v>
      </x:c>
      <x:c r="B130" s="20" t="str">
        <x:v>SAID</x:v>
      </x:c>
      <x:c r="C130" s="20" t="str">
        <x:v>Dann schreie ich, bis Stille ist : Gedichte</x:v>
      </x:c>
      <x:c r="D130" s="20" t="n">
        <x:v>1</x:v>
      </x:c>
      <x:c r="E130" s="35" t="str">
        <x:v>CORE_FOR_WORK_CLUSTERING</x:v>
      </x:c>
      <x:c r="F130" s="20" t="str">
        <x:v>At least one German literary record without translation evidence.</x:v>
      </x:c>
      <x:c r="G130" s="20" t="str">
        <x:v>ger</x:v>
      </x:c>
      <x:c r="H130" s="20" t="n">
        <x:v>1</x:v>
      </x:c>
      <x:c r="I130" s="20" t="n">
        <x:v>1</x:v>
      </x:c>
      <x:c r="J130" s="20" t="n">
        <x:v>0</x:v>
      </x:c>
      <x:c r="K130" s="20" t="n">
        <x:v>1</x:v>
      </x:c>
      <x:c r="L130" s="20" t="str">
        <x:v>901391700</x:v>
      </x:c>
    </x:row>
    <x:row r="131" ht="44" customHeight="1">
      <x:c r="A131" s="20" t="str">
        <x:v>said-f589ff49b5</x:v>
      </x:c>
      <x:c r="B131" s="20" t="str">
        <x:v>SAID</x:v>
      </x:c>
      <x:c r="C131" s="20" t="str">
        <x:v>Das Niemandsland ist unseres : West-östliche Betrachtungen</x:v>
      </x:c>
      <x:c r="D131" s="20" t="n">
        <x:v>2</x:v>
      </x:c>
      <x:c r="E131" s="35" t="str">
        <x:v>CORE_FOR_WORK_CLUSTERING</x:v>
      </x:c>
      <x:c r="F131" s="20" t="str">
        <x:v>At least one German literary record without translation evidence.</x:v>
      </x:c>
      <x:c r="G131" s="20" t="str">
        <x:v>ger</x:v>
      </x:c>
      <x:c r="H131" s="20" t="n">
        <x:v>2</x:v>
      </x:c>
      <x:c r="I131" s="20" t="n">
        <x:v>2</x:v>
      </x:c>
      <x:c r="J131" s="20" t="n">
        <x:v>0</x:v>
      </x:c>
      <x:c r="K131" s="20" t="n">
        <x:v>2</x:v>
      </x:c>
      <x:c r="L131" s="20" t="str">
        <x:v>1016638752 | 996088083</x:v>
      </x:c>
    </x:row>
    <x:row r="132" ht="44" customHeight="1">
      <x:c r="A132" s="20" t="str">
        <x:v>said-bab69a4998</x:v>
      </x:c>
      <x:c r="B132" s="20" t="str">
        <x:v>SAID</x:v>
      </x:c>
      <x:c r="C132" s="20" t="str">
        <x:v>Das Rot lächelt, das Blau schweigt : Geschichten über Bilder</x:v>
      </x:c>
      <x:c r="D132" s="20" t="n">
        <x:v>1</x:v>
      </x:c>
      <x:c r="E132" s="35" t="str">
        <x:v>CORE_FOR_WORK_CLUSTERING</x:v>
      </x:c>
      <x:c r="F132" s="20" t="str">
        <x:v>At least one German literary record without translation evidence.</x:v>
      </x:c>
      <x:c r="G132" s="20" t="str">
        <x:v>ger</x:v>
      </x:c>
      <x:c r="H132" s="20" t="n">
        <x:v>1</x:v>
      </x:c>
      <x:c r="I132" s="20" t="n">
        <x:v>1</x:v>
      </x:c>
      <x:c r="J132" s="20" t="n">
        <x:v>0</x:v>
      </x:c>
      <x:c r="K132" s="20" t="n">
        <x:v>1</x:v>
      </x:c>
      <x:c r="L132" s="20" t="str">
        <x:v>979334586</x:v>
      </x:c>
    </x:row>
    <x:row r="133" ht="44" customHeight="1">
      <x:c r="A133" s="20" t="str">
        <x:v>said-df6ce62094</x:v>
      </x:c>
      <x:c r="B133" s="20" t="str">
        <x:v>SAID</x:v>
      </x:c>
      <x:c r="C133" s="20" t="str">
        <x:v>Der Engel und die Taube : Erzählungen</x:v>
      </x:c>
      <x:c r="D133" s="20" t="n">
        <x:v>1</x:v>
      </x:c>
      <x:c r="E133" s="35" t="str">
        <x:v>CORE_FOR_WORK_CLUSTERING</x:v>
      </x:c>
      <x:c r="F133" s="20" t="str">
        <x:v>At least one German literary record without translation evidence.</x:v>
      </x:c>
      <x:c r="G133" s="20" t="str">
        <x:v>ger</x:v>
      </x:c>
      <x:c r="H133" s="20" t="n">
        <x:v>1</x:v>
      </x:c>
      <x:c r="I133" s="20" t="n">
        <x:v>1</x:v>
      </x:c>
      <x:c r="J133" s="20" t="n">
        <x:v>0</x:v>
      </x:c>
      <x:c r="K133" s="20" t="n">
        <x:v>1</x:v>
      </x:c>
      <x:c r="L133" s="20" t="str">
        <x:v>987935291</x:v>
      </x:c>
    </x:row>
    <x:row r="134" ht="44" customHeight="1">
      <x:c r="A134" s="20" t="str">
        <x:v>said-7db0b0e08c</x:v>
      </x:c>
      <x:c r="B134" s="20" t="str">
        <x:v>SAID</x:v>
      </x:c>
      <x:c r="C134" s="20" t="str">
        <x:v>Der lange Arm der Mullahs : Notizen aus meinem Exil</x:v>
      </x:c>
      <x:c r="D134" s="20" t="n">
        <x:v>2</x:v>
      </x:c>
      <x:c r="E134" s="36" t="str">
        <x:v>AUTO_EXCLUDE_NON_LITERARY</x:v>
      </x:c>
      <x:c r="F134" s="20" t="str">
        <x:v>German record(s), but no stated literary subject or genre signal.</x:v>
      </x:c>
      <x:c r="G134" s="20" t="str">
        <x:v>ger</x:v>
      </x:c>
      <x:c r="H134" s="20" t="n">
        <x:v>0</x:v>
      </x:c>
      <x:c r="I134" s="20" t="n">
        <x:v>2</x:v>
      </x:c>
      <x:c r="J134" s="20" t="n">
        <x:v>0</x:v>
      </x:c>
      <x:c r="K134" s="20" t="n">
        <x:v>0</x:v>
      </x:c>
      <x:c r="L134" s="20" t="str">
        <x:v>946520429 | 942846621</x:v>
      </x:c>
    </x:row>
    <x:row r="135" ht="44" customHeight="1">
      <x:c r="A135" s="20" t="str">
        <x:v>said-ff8776d237</x:v>
      </x:c>
      <x:c r="B135" s="20" t="str">
        <x:v>SAID</x:v>
      </x:c>
      <x:c r="C135" s="20" t="str">
        <x:v>Die Ballade vom Esel Trauermaul</x:v>
      </x:c>
      <x:c r="D135" s="20" t="n">
        <x:v>1</x:v>
      </x:c>
      <x:c r="E135" s="35" t="str">
        <x:v>CORE_FOR_WORK_CLUSTERING</x:v>
      </x:c>
      <x:c r="F135" s="20" t="str">
        <x:v>At least one German literary record without translation evidence.</x:v>
      </x:c>
      <x:c r="G135" s="20" t="str">
        <x:v>ger</x:v>
      </x:c>
      <x:c r="H135" s="20" t="n">
        <x:v>1</x:v>
      </x:c>
      <x:c r="I135" s="20" t="n">
        <x:v>1</x:v>
      </x:c>
      <x:c r="J135" s="20" t="n">
        <x:v>0</x:v>
      </x:c>
      <x:c r="K135" s="20" t="n">
        <x:v>1</x:v>
      </x:c>
      <x:c r="L135" s="20" t="str">
        <x:v>958440573</x:v>
      </x:c>
    </x:row>
    <x:row r="136" ht="44" customHeight="1">
      <x:c r="A136" s="20" t="str">
        <x:v>said-c9cdfe84bf</x:v>
      </x:c>
      <x:c r="B136" s="20" t="str">
        <x:v>SAID</x:v>
      </x:c>
      <x:c r="C136" s="20" t="str">
        <x:v>Dieses Tier, das es nicht gibt : ein Bestiarium</x:v>
      </x:c>
      <x:c r="D136" s="20" t="n">
        <x:v>1</x:v>
      </x:c>
      <x:c r="E136" s="35" t="str">
        <x:v>CORE_FOR_WORK_CLUSTERING</x:v>
      </x:c>
      <x:c r="F136" s="20" t="str">
        <x:v>At least one German literary record without translation evidence.</x:v>
      </x:c>
      <x:c r="G136" s="20" t="str">
        <x:v>ger</x:v>
      </x:c>
      <x:c r="H136" s="20" t="n">
        <x:v>1</x:v>
      </x:c>
      <x:c r="I136" s="20" t="n">
        <x:v>1</x:v>
      </x:c>
      <x:c r="J136" s="20" t="n">
        <x:v>0</x:v>
      </x:c>
      <x:c r="K136" s="20" t="n">
        <x:v>1</x:v>
      </x:c>
      <x:c r="L136" s="20" t="str">
        <x:v>956679471</x:v>
      </x:c>
    </x:row>
    <x:row r="137" ht="44" customHeight="1">
      <x:c r="A137" s="20" t="str">
        <x:v>said-7c9f6dcc2e</x:v>
      </x:c>
      <x:c r="B137" s="20" t="str">
        <x:v>SAID</x:v>
      </x:c>
      <x:c r="C137" s="20" t="str">
        <x:v>Ein vibrierendes Kind : Erinnerungen an eine persische Kindheit</x:v>
      </x:c>
      <x:c r="D137" s="20" t="n">
        <x:v>2</x:v>
      </x:c>
      <x:c r="E137" s="35" t="str">
        <x:v>CORE_FOR_WORK_CLUSTERING</x:v>
      </x:c>
      <x:c r="F137" s="20" t="str">
        <x:v>At least one German literary record without translation evidence.</x:v>
      </x:c>
      <x:c r="G137" s="20" t="str">
        <x:v>ger</x:v>
      </x:c>
      <x:c r="H137" s="20" t="n">
        <x:v>2</x:v>
      </x:c>
      <x:c r="I137" s="20" t="n">
        <x:v>2</x:v>
      </x:c>
      <x:c r="J137" s="20" t="n">
        <x:v>0</x:v>
      </x:c>
      <x:c r="K137" s="20" t="n">
        <x:v>2</x:v>
      </x:c>
      <x:c r="L137" s="20" t="str">
        <x:v>1244537594 | 1257788787</x:v>
      </x:c>
    </x:row>
    <x:row r="138" ht="44" customHeight="1">
      <x:c r="A138" s="20" t="str">
        <x:v>said-af205475e8</x:v>
      </x:c>
      <x:c r="B138" s="20" t="str">
        <x:v>SAID</x:v>
      </x:c>
      <x:c r="C138" s="20" t="str">
        <x:v>Flüstern gegen die Wölfe : Geschichten</x:v>
      </x:c>
      <x:c r="D138" s="20" t="n">
        <x:v>1</x:v>
      </x:c>
      <x:c r="E138" s="35" t="str">
        <x:v>CORE_FOR_WORK_CLUSTERING</x:v>
      </x:c>
      <x:c r="F138" s="20" t="str">
        <x:v>At least one German literary record without translation evidence.</x:v>
      </x:c>
      <x:c r="G138" s="20" t="str">
        <x:v>ger</x:v>
      </x:c>
      <x:c r="H138" s="20" t="n">
        <x:v>1</x:v>
      </x:c>
      <x:c r="I138" s="20" t="n">
        <x:v>1</x:v>
      </x:c>
      <x:c r="J138" s="20" t="n">
        <x:v>0</x:v>
      </x:c>
      <x:c r="K138" s="20" t="n">
        <x:v>1</x:v>
      </x:c>
      <x:c r="L138" s="20" t="str">
        <x:v>1222691345</x:v>
      </x:c>
    </x:row>
    <x:row r="139" ht="44" customHeight="1">
      <x:c r="A139" s="20" t="str">
        <x:v>said-5987d4eb80</x:v>
      </x:c>
      <x:c r="B139" s="20" t="str">
        <x:v>SAID</x:v>
      </x:c>
      <x:c r="C139" s="20" t="str">
        <x:v>Ich und der Islam</x:v>
      </x:c>
      <x:c r="D139" s="20" t="n">
        <x:v>1</x:v>
      </x:c>
      <x:c r="E139" s="36" t="str">
        <x:v>AUTO_EXCLUDE_NON_LITERARY</x:v>
      </x:c>
      <x:c r="F139" s="20" t="str">
        <x:v>German record(s), but no stated literary subject or genre signal.</x:v>
      </x:c>
      <x:c r="G139" s="20" t="str">
        <x:v>ger</x:v>
      </x:c>
      <x:c r="H139" s="20" t="n">
        <x:v>0</x:v>
      </x:c>
      <x:c r="I139" s="20" t="n">
        <x:v>1</x:v>
      </x:c>
      <x:c r="J139" s="20" t="n">
        <x:v>0</x:v>
      </x:c>
      <x:c r="K139" s="20" t="n">
        <x:v>0</x:v>
      </x:c>
      <x:c r="L139" s="20" t="str">
        <x:v>974876178</x:v>
      </x:c>
    </x:row>
    <x:row r="140" ht="44" customHeight="1">
      <x:c r="A140" s="20" t="str">
        <x:v>said-49f520f7f2</x:v>
      </x:c>
      <x:c r="B140" s="20" t="str">
        <x:v>SAID</x:v>
      </x:c>
      <x:c r="C140" s="20" t="str">
        <x:v>Ich und der Schah</x:v>
      </x:c>
      <x:c r="D140" s="20" t="n">
        <x:v>1</x:v>
      </x:c>
      <x:c r="E140" s="35" t="str">
        <x:v>CORE_FOR_WORK_CLUSTERING</x:v>
      </x:c>
      <x:c r="F140" s="20" t="str">
        <x:v>At least one German literary record without translation evidence.</x:v>
      </x:c>
      <x:c r="G140" s="20" t="str">
        <x:v>ger</x:v>
      </x:c>
      <x:c r="H140" s="20" t="n">
        <x:v>1</x:v>
      </x:c>
      <x:c r="I140" s="20" t="n">
        <x:v>1</x:v>
      </x:c>
      <x:c r="J140" s="20" t="n">
        <x:v>0</x:v>
      </x:c>
      <x:c r="K140" s="20" t="n">
        <x:v>1</x:v>
      </x:c>
      <x:c r="L140" s="20" t="str">
        <x:v>942026713</x:v>
      </x:c>
    </x:row>
    <x:row r="141" ht="44" customHeight="1">
      <x:c r="A141" s="20" t="str">
        <x:v>said-1f86492bf3</x:v>
      </x:c>
      <x:c r="B141" s="20" t="str">
        <x:v>SAID</x:v>
      </x:c>
      <x:c r="C141" s="20" t="str">
        <x:v>Ich, Jesus von Nazareth</x:v>
      </x:c>
      <x:c r="D141" s="20" t="n">
        <x:v>1</x:v>
      </x:c>
      <x:c r="E141" s="35" t="str">
        <x:v>CORE_FOR_WORK_CLUSTERING</x:v>
      </x:c>
      <x:c r="F141" s="20" t="str">
        <x:v>At least one German literary record without translation evidence.</x:v>
      </x:c>
      <x:c r="G141" s="20" t="str">
        <x:v>ger</x:v>
      </x:c>
      <x:c r="H141" s="20" t="n">
        <x:v>1</x:v>
      </x:c>
      <x:c r="I141" s="20" t="n">
        <x:v>1</x:v>
      </x:c>
      <x:c r="J141" s="20" t="n">
        <x:v>0</x:v>
      </x:c>
      <x:c r="K141" s="20" t="n">
        <x:v>1</x:v>
      </x:c>
      <x:c r="L141" s="20" t="str">
        <x:v>1144214734</x:v>
      </x:c>
    </x:row>
    <x:row r="142" ht="44" customHeight="1">
      <x:c r="A142" s="20" t="str">
        <x:v>said-c8c25dd050</x:v>
      </x:c>
      <x:c r="B142" s="20" t="str">
        <x:v>SAID</x:v>
      </x:c>
      <x:c r="C142" s="20" t="str">
        <x:v>In Deutschland leben</x:v>
      </x:c>
      <x:c r="D142" s="20" t="n">
        <x:v>1</x:v>
      </x:c>
      <x:c r="E142" s="36" t="str">
        <x:v>AUTO_EXCLUDE_NON_GERMAN</x:v>
      </x:c>
      <x:c r="F142" s="20" t="str">
        <x:v>All records are non-German publications.</x:v>
      </x:c>
      <x:c r="G142" s="20" t="str">
        <x:v>per</x:v>
      </x:c>
      <x:c r="H142" s="20" t="n">
        <x:v>1</x:v>
      </x:c>
      <x:c r="I142" s="20" t="n">
        <x:v>0</x:v>
      </x:c>
      <x:c r="J142" s="20" t="n">
        <x:v>0</x:v>
      </x:c>
      <x:c r="K142" s="20" t="n">
        <x:v>0</x:v>
      </x:c>
      <x:c r="L142" s="20" t="str">
        <x:v>991939808</x:v>
      </x:c>
    </x:row>
    <x:row r="143" ht="44" customHeight="1">
      <x:c r="A143" s="20" t="str">
        <x:v>said-52ad410f7d</x:v>
      </x:c>
      <x:c r="B143" s="20" t="str">
        <x:v>SAID</x:v>
      </x:c>
      <x:c r="C143" s="20" t="str">
        <x:v>In Deutschland leben : ein Gespräch mit Wieland Freund</x:v>
      </x:c>
      <x:c r="D143" s="20" t="n">
        <x:v>1</x:v>
      </x:c>
      <x:c r="E143" s="36" t="str">
        <x:v>AUTO_EXCLUDE_NON_LITERARY</x:v>
      </x:c>
      <x:c r="F143" s="20" t="str">
        <x:v>German record(s), but no stated literary subject or genre signal.</x:v>
      </x:c>
      <x:c r="G143" s="20" t="str">
        <x:v>ger</x:v>
      </x:c>
      <x:c r="H143" s="20" t="n">
        <x:v>0</x:v>
      </x:c>
      <x:c r="I143" s="20" t="n">
        <x:v>1</x:v>
      </x:c>
      <x:c r="J143" s="20" t="n">
        <x:v>0</x:v>
      </x:c>
      <x:c r="K143" s="20" t="n">
        <x:v>0</x:v>
      </x:c>
      <x:c r="L143" s="20" t="str">
        <x:v>969611765</x:v>
      </x:c>
    </x:row>
    <x:row r="144" ht="44" customHeight="1">
      <x:c r="A144" s="20" t="str">
        <x:v>said-d65cc9bdd5</x:v>
      </x:c>
      <x:c r="B144" s="20" t="str">
        <x:v>SAID</x:v>
      </x:c>
      <x:c r="C144" s="20" t="str">
        <x:v>Landscapes of a distant mother</x:v>
      </x:c>
      <x:c r="D144" s="20" t="n">
        <x:v>1</x:v>
      </x:c>
      <x:c r="E144" s="36" t="str">
        <x:v>AUTO_EXCLUDE_NON_GERMAN</x:v>
      </x:c>
      <x:c r="F144" s="20" t="str">
        <x:v>All records are non-German publications.</x:v>
      </x:c>
      <x:c r="G144" s="20" t="str">
        <x:v>eng</x:v>
      </x:c>
      <x:c r="H144" s="20" t="n">
        <x:v>1</x:v>
      </x:c>
      <x:c r="I144" s="20" t="n">
        <x:v>0</x:v>
      </x:c>
      <x:c r="J144" s="20" t="n">
        <x:v>0</x:v>
      </x:c>
      <x:c r="K144" s="20" t="n">
        <x:v>0</x:v>
      </x:c>
      <x:c r="L144" s="20" t="str">
        <x:v>973312238</x:v>
      </x:c>
    </x:row>
    <x:row r="145" ht="44" customHeight="1">
      <x:c r="A145" s="20" t="str">
        <x:v>said-0b4c47db6b</x:v>
      </x:c>
      <x:c r="B145" s="20" t="str">
        <x:v>SAID</x:v>
      </x:c>
      <x:c r="C145" s="20" t="str">
        <x:v>Landschaften einer fernen Mutter</x:v>
      </x:c>
      <x:c r="D145" s="20" t="n">
        <x:v>2</x:v>
      </x:c>
      <x:c r="E145" s="35" t="str">
        <x:v>CORE_FOR_WORK_CLUSTERING</x:v>
      </x:c>
      <x:c r="F145" s="20" t="str">
        <x:v>At least one German literary record without translation evidence.</x:v>
      </x:c>
      <x:c r="G145" s="20" t="str">
        <x:v>ger</x:v>
      </x:c>
      <x:c r="H145" s="20" t="n">
        <x:v>2</x:v>
      </x:c>
      <x:c r="I145" s="20" t="n">
        <x:v>2</x:v>
      </x:c>
      <x:c r="J145" s="20" t="n">
        <x:v>0</x:v>
      </x:c>
      <x:c r="K145" s="20" t="n">
        <x:v>2</x:v>
      </x:c>
      <x:c r="L145" s="20" t="str">
        <x:v>966306147 | 960161201</x:v>
      </x:c>
    </x:row>
    <x:row r="146" ht="44" customHeight="1">
      <x:c r="A146" s="20" t="str">
        <x:v>said-522206c51b</x:v>
      </x:c>
      <x:c r="B146" s="20" t="str">
        <x:v>SAID</x:v>
      </x:c>
      <x:c r="C146" s="20" t="str">
        <x:v>Liebesgedichte</x:v>
      </x:c>
      <x:c r="D146" s="20" t="n">
        <x:v>2</x:v>
      </x:c>
      <x:c r="E146" s="35" t="str">
        <x:v>CORE_FOR_WORK_CLUSTERING</x:v>
      </x:c>
      <x:c r="F146" s="20" t="str">
        <x:v>At least one German literary record without translation evidence.</x:v>
      </x:c>
      <x:c r="G146" s="20" t="str">
        <x:v>ger</x:v>
      </x:c>
      <x:c r="H146" s="20" t="n">
        <x:v>2</x:v>
      </x:c>
      <x:c r="I146" s="20" t="n">
        <x:v>2</x:v>
      </x:c>
      <x:c r="J146" s="20" t="n">
        <x:v>0</x:v>
      </x:c>
      <x:c r="K146" s="20" t="n">
        <x:v>2</x:v>
      </x:c>
      <x:c r="L146" s="20" t="str">
        <x:v>890511381 | 891384685</x:v>
      </x:c>
    </x:row>
    <x:row r="147" ht="44" customHeight="1">
      <x:c r="A147" s="20" t="str">
        <x:v>said-fd6029c8c8</x:v>
      </x:c>
      <x:c r="B147" s="20" t="str">
        <x:v>SAID</x:v>
      </x:c>
      <x:c r="C147" s="20" t="str">
        <x:v>Mein grüner Paß : Lesung anlässlich der Thüringer Auftaktveranstaltung zur Woche der ausländischen Mitbürger 2006 ; Erfurt, 23. September 2006</x:v>
      </x:c>
      <x:c r="D147" s="20" t="n">
        <x:v>1</x:v>
      </x:c>
      <x:c r="E147" s="36" t="str">
        <x:v>AUTO_EXCLUDE_NON_LITERARY</x:v>
      </x:c>
      <x:c r="F147" s="20" t="str">
        <x:v>German record(s), but no stated literary subject or genre signal.</x:v>
      </x:c>
      <x:c r="G147" s="20" t="str">
        <x:v>ger</x:v>
      </x:c>
      <x:c r="H147" s="20" t="n">
        <x:v>0</x:v>
      </x:c>
      <x:c r="I147" s="20" t="n">
        <x:v>1</x:v>
      </x:c>
      <x:c r="J147" s="20" t="n">
        <x:v>0</x:v>
      </x:c>
      <x:c r="K147" s="20" t="n">
        <x:v>0</x:v>
      </x:c>
      <x:c r="L147" s="20" t="str">
        <x:v>1049204042</x:v>
      </x:c>
    </x:row>
    <x:row r="148" ht="44" customHeight="1">
      <x:c r="A148" s="20" t="str">
        <x:v>said-e36f3273fe</x:v>
      </x:c>
      <x:c r="B148" s="20" t="str">
        <x:v>SAID</x:v>
      </x:c>
      <x:c r="C148" s="20" t="str">
        <x:v>Nähe : nach Psalmen von SAID : für gemischten Chor und Solo-Viola : (2012)</x:v>
      </x:c>
      <x:c r="D148" s="20" t="n">
        <x:v>1</x:v>
      </x:c>
      <x:c r="E148" s="36" t="str">
        <x:v>AUTO_EXCLUDE_NON_LITERARY</x:v>
      </x:c>
      <x:c r="F148" s="20" t="str">
        <x:v>German record(s), but no stated literary subject or genre signal.</x:v>
      </x:c>
      <x:c r="G148" s="20" t="str">
        <x:v>ger</x:v>
      </x:c>
      <x:c r="H148" s="20" t="n">
        <x:v>0</x:v>
      </x:c>
      <x:c r="I148" s="20" t="n">
        <x:v>1</x:v>
      </x:c>
      <x:c r="J148" s="20" t="n">
        <x:v>0</x:v>
      </x:c>
      <x:c r="K148" s="20" t="n">
        <x:v>0</x:v>
      </x:c>
      <x:c r="L148" s="20" t="str">
        <x:v>1110061625</x:v>
      </x:c>
    </x:row>
    <x:row r="149" ht="44" customHeight="1">
      <x:c r="A149" s="20" t="str">
        <x:v>said-407796a1d9</x:v>
      </x:c>
      <x:c r="B149" s="20" t="str">
        <x:v>SAID</x:v>
      </x:c>
      <x:c r="C149" s="20" t="str">
        <x:v>Paisajes de una madre lejana</x:v>
      </x:c>
      <x:c r="D149" s="20" t="n">
        <x:v>1</x:v>
      </x:c>
      <x:c r="E149" s="36" t="str">
        <x:v>AUTO_EXCLUDE_NON_GERMAN</x:v>
      </x:c>
      <x:c r="F149" s="20" t="str">
        <x:v>All records are non-German publications.</x:v>
      </x:c>
      <x:c r="G149" s="20" t="str">
        <x:v>spa</x:v>
      </x:c>
      <x:c r="H149" s="20" t="n">
        <x:v>1</x:v>
      </x:c>
      <x:c r="I149" s="20" t="n">
        <x:v>0</x:v>
      </x:c>
      <x:c r="J149" s="20" t="n">
        <x:v>0</x:v>
      </x:c>
      <x:c r="K149" s="20" t="n">
        <x:v>0</x:v>
      </x:c>
      <x:c r="L149" s="20" t="str">
        <x:v>975570609</x:v>
      </x:c>
    </x:row>
    <x:row r="150" ht="44" customHeight="1">
      <x:c r="A150" s="20" t="str">
        <x:v>said-6228997a1f</x:v>
      </x:c>
      <x:c r="B150" s="20" t="str">
        <x:v>SAID</x:v>
      </x:c>
      <x:c r="C150" s="20" t="str">
        <x:v>Parlando mit Le Phung</x:v>
      </x:c>
      <x:c r="D150" s="20" t="n">
        <x:v>1</x:v>
      </x:c>
      <x:c r="E150" s="35" t="str">
        <x:v>CORE_FOR_WORK_CLUSTERING</x:v>
      </x:c>
      <x:c r="F150" s="20" t="str">
        <x:v>At least one German literary record without translation evidence.</x:v>
      </x:c>
      <x:c r="G150" s="20" t="str">
        <x:v>ger</x:v>
      </x:c>
      <x:c r="H150" s="20" t="n">
        <x:v>1</x:v>
      </x:c>
      <x:c r="I150" s="20" t="n">
        <x:v>1</x:v>
      </x:c>
      <x:c r="J150" s="20" t="n">
        <x:v>0</x:v>
      </x:c>
      <x:c r="K150" s="20" t="n">
        <x:v>1</x:v>
      </x:c>
      <x:c r="L150" s="20" t="str">
        <x:v>1029097291</x:v>
      </x:c>
    </x:row>
    <x:row r="151" ht="44" customHeight="1">
      <x:c r="A151" s="20" t="str">
        <x:v>said-53a788dd3f</x:v>
      </x:c>
      <x:c r="B151" s="20" t="str">
        <x:v>SAID</x:v>
      </x:c>
      <x:c r="C151" s="20" t="str">
        <x:v>Predjeli daleke majke</x:v>
      </x:c>
      <x:c r="D151" s="20" t="n">
        <x:v>1</x:v>
      </x:c>
      <x:c r="E151" s="36" t="str">
        <x:v>AUTO_EXCLUDE_NON_GERMAN</x:v>
      </x:c>
      <x:c r="F151" s="20" t="str">
        <x:v>All records are non-German publications.</x:v>
      </x:c>
      <x:c r="G151" s="20" t="str">
        <x:v>bos</x:v>
      </x:c>
      <x:c r="H151" s="20" t="n">
        <x:v>1</x:v>
      </x:c>
      <x:c r="I151" s="20" t="n">
        <x:v>0</x:v>
      </x:c>
      <x:c r="J151" s="20" t="n">
        <x:v>1</x:v>
      </x:c>
      <x:c r="K151" s="20" t="n">
        <x:v>0</x:v>
      </x:c>
      <x:c r="L151" s="20" t="str">
        <x:v>99004811X</x:v>
      </x:c>
    </x:row>
    <x:row r="152" ht="44" customHeight="1">
      <x:c r="A152" s="20" t="str">
        <x:v>said-78e1ec38df</x:v>
      </x:c>
      <x:c r="B152" s="20" t="str">
        <x:v>SAID</x:v>
      </x:c>
      <x:c r="C152" s="20" t="str">
        <x:v>Psalmen</x:v>
      </x:c>
      <x:c r="D152" s="20" t="n">
        <x:v>2</x:v>
      </x:c>
      <x:c r="E152" s="35" t="str">
        <x:v>CORE_FOR_WORK_CLUSTERING</x:v>
      </x:c>
      <x:c r="F152" s="20" t="str">
        <x:v>At least one German literary record without translation evidence.</x:v>
      </x:c>
      <x:c r="G152" s="20" t="str">
        <x:v>ger</x:v>
      </x:c>
      <x:c r="H152" s="20" t="n">
        <x:v>2</x:v>
      </x:c>
      <x:c r="I152" s="20" t="n">
        <x:v>2</x:v>
      </x:c>
      <x:c r="J152" s="20" t="n">
        <x:v>0</x:v>
      </x:c>
      <x:c r="K152" s="20" t="n">
        <x:v>2</x:v>
      </x:c>
      <x:c r="L152" s="20" t="str">
        <x:v>1081911212 | 982044739</x:v>
      </x:c>
    </x:row>
    <x:row r="153" ht="44" customHeight="1">
      <x:c r="A153" s="20" t="str">
        <x:v>said-3e57800faa</x:v>
      </x:c>
      <x:c r="B153" s="20" t="str">
        <x:v>SAID</x:v>
      </x:c>
      <x:c r="C153" s="20" t="str">
        <x:v>Psalmen = Salmi</x:v>
      </x:c>
      <x:c r="D153" s="20" t="n">
        <x:v>1</x:v>
      </x:c>
      <x:c r="E153" s="36" t="str">
        <x:v>AUTO_EXCLUDE_NON_GERMAN</x:v>
      </x:c>
      <x:c r="F153" s="20" t="str">
        <x:v>All records are non-German publications.</x:v>
      </x:c>
      <x:c r="G153" s="20" t="str">
        <x:v>ita</x:v>
      </x:c>
      <x:c r="H153" s="20" t="n">
        <x:v>1</x:v>
      </x:c>
      <x:c r="I153" s="20" t="n">
        <x:v>0</x:v>
      </x:c>
      <x:c r="J153" s="20" t="n">
        <x:v>0</x:v>
      </x:c>
      <x:c r="K153" s="20" t="n">
        <x:v>0</x:v>
      </x:c>
      <x:c r="L153" s="20" t="str">
        <x:v>112494558X</x:v>
      </x:c>
    </x:row>
    <x:row r="154" ht="44" customHeight="1">
      <x:c r="A154" s="20" t="str">
        <x:v>said-2b5dfba052</x:v>
      </x:c>
      <x:c r="B154" s="20" t="str">
        <x:v>SAID</x:v>
      </x:c>
      <x:c r="C154" s="20" t="str">
        <x:v>Psaumes</x:v>
      </x:c>
      <x:c r="D154" s="20" t="n">
        <x:v>1</x:v>
      </x:c>
      <x:c r="E154" s="36" t="str">
        <x:v>AUTO_EXCLUDE_NON_GERMAN</x:v>
      </x:c>
      <x:c r="F154" s="20" t="str">
        <x:v>All records are non-German publications.</x:v>
      </x:c>
      <x:c r="G154" s="20" t="str">
        <x:v>fre</x:v>
      </x:c>
      <x:c r="H154" s="20" t="n">
        <x:v>1</x:v>
      </x:c>
      <x:c r="I154" s="20" t="n">
        <x:v>0</x:v>
      </x:c>
      <x:c r="J154" s="20" t="n">
        <x:v>0</x:v>
      </x:c>
      <x:c r="K154" s="20" t="n">
        <x:v>0</x:v>
      </x:c>
      <x:c r="L154" s="20" t="str">
        <x:v>1034314181</x:v>
      </x:c>
    </x:row>
    <x:row r="155" ht="44" customHeight="1">
      <x:c r="A155" s="20" t="str">
        <x:v>said-ec098d5e02</x:v>
      </x:c>
      <x:c r="B155" s="20" t="str">
        <x:v>SAID</x:v>
      </x:c>
      <x:c r="C155" s="20" t="str">
        <x:v>Ruf zurück die Vögel : Neue Gedichte</x:v>
      </x:c>
      <x:c r="D155" s="20" t="n">
        <x:v>2</x:v>
      </x:c>
      <x:c r="E155" s="35" t="str">
        <x:v>CORE_FOR_WORK_CLUSTERING</x:v>
      </x:c>
      <x:c r="F155" s="20" t="str">
        <x:v>At least one German literary record without translation evidence.</x:v>
      </x:c>
      <x:c r="G155" s="20" t="str">
        <x:v>ger</x:v>
      </x:c>
      <x:c r="H155" s="20" t="n">
        <x:v>2</x:v>
      </x:c>
      <x:c r="I155" s="20" t="n">
        <x:v>2</x:v>
      </x:c>
      <x:c r="J155" s="20" t="n">
        <x:v>0</x:v>
      </x:c>
      <x:c r="K155" s="20" t="n">
        <x:v>2</x:v>
      </x:c>
      <x:c r="L155" s="20" t="str">
        <x:v>1049922514 | 996952519</x:v>
      </x:c>
    </x:row>
    <x:row r="156" ht="44" customHeight="1">
      <x:c r="A156" s="20" t="str">
        <x:v>said-f1cc2c5ef5</x:v>
      </x:c>
      <x:c r="B156" s="20" t="str">
        <x:v>SAID</x:v>
      </x:c>
      <x:c r="C156" s="20" t="str">
        <x:v>Salam Yamen - lieber Said : Dialog</x:v>
      </x:c>
      <x:c r="D156" s="20" t="n">
        <x:v>2</x:v>
      </x:c>
      <x:c r="E156" s="32" t="str">
        <x:v>REVIEW_TRANSLATION_OR_BILINGUAL</x:v>
      </x:c>
      <x:c r="F156" s="20" t="str">
        <x:v>German literary record has a translator role but no stated non-German original language.</x:v>
      </x:c>
      <x:c r="G156" s="20" t="str">
        <x:v>ger | ara</x:v>
      </x:c>
      <x:c r="H156" s="20" t="n">
        <x:v>2</x:v>
      </x:c>
      <x:c r="I156" s="20" t="n">
        <x:v>2</x:v>
      </x:c>
      <x:c r="J156" s="20" t="n">
        <x:v>2</x:v>
      </x:c>
      <x:c r="K156" s="20" t="n">
        <x:v>0</x:v>
      </x:c>
      <x:c r="L156" s="20" t="str">
        <x:v>1178558924 | 1165540371</x:v>
      </x:c>
    </x:row>
    <x:row r="157" ht="44" customHeight="1">
      <x:c r="A157" s="20" t="str">
        <x:v>said-91596bcfb9</x:v>
      </x:c>
      <x:c r="B157" s="20" t="str">
        <x:v>SAID</x:v>
      </x:c>
      <x:c r="C157" s="20" t="str">
        <x:v>Sei Nacht zu mir : Liebesgedichte</x:v>
      </x:c>
      <x:c r="D157" s="20" t="n">
        <x:v>2</x:v>
      </x:c>
      <x:c r="E157" s="35" t="str">
        <x:v>CORE_FOR_WORK_CLUSTERING</x:v>
      </x:c>
      <x:c r="F157" s="20" t="str">
        <x:v>At least one German literary record without translation evidence.</x:v>
      </x:c>
      <x:c r="G157" s="20" t="str">
        <x:v>ger</x:v>
      </x:c>
      <x:c r="H157" s="20" t="n">
        <x:v>2</x:v>
      </x:c>
      <x:c r="I157" s="20" t="n">
        <x:v>2</x:v>
      </x:c>
      <x:c r="J157" s="20" t="n">
        <x:v>0</x:v>
      </x:c>
      <x:c r="K157" s="20" t="n">
        <x:v>2</x:v>
      </x:c>
      <x:c r="L157" s="20" t="str">
        <x:v>1139208705 | 953528723</x:v>
      </x:c>
    </x:row>
    <x:row r="158" ht="44" customHeight="1">
      <x:c r="A158" s="20" t="str">
        <x:v>said-df68ff1cf4</x:v>
      </x:c>
      <x:c r="B158" s="20" t="str">
        <x:v>SAID</x:v>
      </x:c>
      <x:c r="C158" s="20" t="str">
        <x:v>Sei Nacht zu mir : Lieder von SAID für 2 Violinen, Countertenor mit einem Sprecher : (2014)</x:v>
      </x:c>
      <x:c r="D158" s="20" t="n">
        <x:v>1</x:v>
      </x:c>
      <x:c r="E158" s="36" t="str">
        <x:v>AUTO_EXCLUDE_NON_LITERARY</x:v>
      </x:c>
      <x:c r="F158" s="20" t="str">
        <x:v>German record(s), but no stated literary subject or genre signal.</x:v>
      </x:c>
      <x:c r="G158" s="20" t="str">
        <x:v>ger</x:v>
      </x:c>
      <x:c r="H158" s="20" t="n">
        <x:v>0</x:v>
      </x:c>
      <x:c r="I158" s="20" t="n">
        <x:v>1</x:v>
      </x:c>
      <x:c r="J158" s="20" t="n">
        <x:v>0</x:v>
      </x:c>
      <x:c r="K158" s="20" t="n">
        <x:v>0</x:v>
      </x:c>
      <x:c r="L158" s="20" t="str">
        <x:v>1233234358</x:v>
      </x:c>
    </x:row>
    <x:row r="159" ht="44" customHeight="1">
      <x:c r="A159" s="20" t="str">
        <x:v>said-deccee364e</x:v>
      </x:c>
      <x:c r="B159" s="20" t="str">
        <x:v>SAID</x:v>
      </x:c>
      <x:c r="C159" s="20" t="str">
        <x:v>Selbstbildnis für eine ferne Mutter</x:v>
      </x:c>
      <x:c r="D159" s="20" t="n">
        <x:v>1</x:v>
      </x:c>
      <x:c r="E159" s="35" t="str">
        <x:v>CORE_FOR_WORK_CLUSTERING</x:v>
      </x:c>
      <x:c r="F159" s="20" t="str">
        <x:v>At least one German literary record without translation evidence.</x:v>
      </x:c>
      <x:c r="G159" s="20" t="str">
        <x:v>ger</x:v>
      </x:c>
      <x:c r="H159" s="20" t="n">
        <x:v>1</x:v>
      </x:c>
      <x:c r="I159" s="20" t="n">
        <x:v>1</x:v>
      </x:c>
      <x:c r="J159" s="20" t="n">
        <x:v>0</x:v>
      </x:c>
      <x:c r="K159" s="20" t="n">
        <x:v>1</x:v>
      </x:c>
      <x:c r="L159" s="20" t="str">
        <x:v>948097302</x:v>
      </x:c>
    </x:row>
    <x:row r="160" ht="44" customHeight="1">
      <x:c r="A160" s="20" t="str">
        <x:v>said-53a2489a62</x:v>
      </x:c>
      <x:c r="B160" s="20" t="str">
        <x:v>SAID</x:v>
      </x:c>
      <x:c r="C160" s="20" t="str">
        <x:v>September in Varna</x:v>
      </x:c>
      <x:c r="D160" s="20" t="n">
        <x:v>1</x:v>
      </x:c>
      <x:c r="E160" s="35" t="str">
        <x:v>CORE_FOR_WORK_CLUSTERING</x:v>
      </x:c>
      <x:c r="F160" s="20" t="str">
        <x:v>At least one German literary record without translation evidence.</x:v>
      </x:c>
      <x:c r="G160" s="20" t="str">
        <x:v>ger</x:v>
      </x:c>
      <x:c r="H160" s="20" t="n">
        <x:v>1</x:v>
      </x:c>
      <x:c r="I160" s="20" t="n">
        <x:v>1</x:v>
      </x:c>
      <x:c r="J160" s="20" t="n">
        <x:v>0</x:v>
      </x:c>
      <x:c r="K160" s="20" t="n">
        <x:v>1</x:v>
      </x:c>
      <x:c r="L160" s="20" t="str">
        <x:v>117221509X</x:v>
      </x:c>
    </x:row>
    <x:row r="161" ht="44" customHeight="1">
      <x:c r="A161" s="20" t="str">
        <x:v>said-92f39dd1f3</x:v>
      </x:c>
      <x:c r="B161" s="20" t="str">
        <x:v>SAID</x:v>
      </x:c>
      <x:c r="C161" s="20" t="str">
        <x:v>vom wort zum haus : gedichte</x:v>
      </x:c>
      <x:c r="D161" s="20" t="n">
        <x:v>1</x:v>
      </x:c>
      <x:c r="E161" s="35" t="str">
        <x:v>CORE_FOR_WORK_CLUSTERING</x:v>
      </x:c>
      <x:c r="F161" s="20" t="str">
        <x:v>At least one German literary record without translation evidence.</x:v>
      </x:c>
      <x:c r="G161" s="20" t="str">
        <x:v>ger</x:v>
      </x:c>
      <x:c r="H161" s="20" t="n">
        <x:v>1</x:v>
      </x:c>
      <x:c r="I161" s="20" t="n">
        <x:v>1</x:v>
      </x:c>
      <x:c r="J161" s="20" t="n">
        <x:v>0</x:v>
      </x:c>
      <x:c r="K161" s="20" t="n">
        <x:v>1</x:v>
      </x:c>
      <x:c r="L161" s="20" t="str">
        <x:v>1157104959</x:v>
      </x:c>
    </x:row>
    <x:row r="162" ht="44" customHeight="1">
      <x:c r="A162" s="20" t="str">
        <x:v>said-fcfb38176d</x:v>
      </x:c>
      <x:c r="B162" s="20" t="str">
        <x:v>SAID</x:v>
      </x:c>
      <x:c r="C162" s="20" t="str">
        <x:v>Wo ich sterbe ist meine Fremde</x:v>
      </x:c>
      <x:c r="D162" s="20" t="n">
        <x:v>2</x:v>
      </x:c>
      <x:c r="E162" s="35" t="str">
        <x:v>CORE_FOR_WORK_CLUSTERING</x:v>
      </x:c>
      <x:c r="F162" s="20" t="str">
        <x:v>At least one German literary record without translation evidence.</x:v>
      </x:c>
      <x:c r="G162" s="20" t="str">
        <x:v>ger</x:v>
      </x:c>
      <x:c r="H162" s="20" t="n">
        <x:v>2</x:v>
      </x:c>
      <x:c r="I162" s="20" t="n">
        <x:v>2</x:v>
      </x:c>
      <x:c r="J162" s="20" t="n">
        <x:v>0</x:v>
      </x:c>
      <x:c r="K162" s="20" t="n">
        <x:v>2</x:v>
      </x:c>
      <x:c r="L162" s="20" t="str">
        <x:v>860126501 | 830939237</x:v>
      </x:c>
    </x:row>
    <x:row r="163" ht="44" customHeight="1">
      <x:c r="A163" s="20" t="str">
        <x:v>said-627aec6fea</x:v>
      </x:c>
      <x:c r="B163" s="20" t="str">
        <x:v>SAID</x:v>
      </x:c>
      <x:c r="C163" s="20" t="str">
        <x:v>Wo ich sterbe ist meine Fremde : Exil u. Liebe ; Gedichte u.e. Gespräch mit Gino Chiellino</x:v>
      </x:c>
      <x:c r="D163" s="20" t="n">
        <x:v>1</x:v>
      </x:c>
      <x:c r="E163" s="35" t="str">
        <x:v>CORE_FOR_WORK_CLUSTERING</x:v>
      </x:c>
      <x:c r="F163" s="20" t="str">
        <x:v>At least one German literary record without translation evidence.</x:v>
      </x:c>
      <x:c r="G163" s="20" t="str">
        <x:v>ger</x:v>
      </x:c>
      <x:c r="H163" s="20" t="n">
        <x:v>1</x:v>
      </x:c>
      <x:c r="I163" s="20" t="n">
        <x:v>1</x:v>
      </x:c>
      <x:c r="J163" s="20" t="n">
        <x:v>0</x:v>
      </x:c>
      <x:c r="K163" s="20" t="n">
        <x:v>1</x:v>
      </x:c>
      <x:c r="L163" s="20" t="str">
        <x:v>880322845</x:v>
      </x:c>
    </x:row>
    <x:row r="164" ht="44" customHeight="1">
      <x:c r="A164" s="20" t="str">
        <x:v>said-8187241db9</x:v>
      </x:c>
      <x:c r="B164" s="20" t="str">
        <x:v>SAID</x:v>
      </x:c>
      <x:c r="C164" s="20" t="str">
        <x:v>Wo ich sterbe ist meine Fremde : Gedichte</x:v>
      </x:c>
      <x:c r="D164" s="20" t="n">
        <x:v>2</x:v>
      </x:c>
      <x:c r="E164" s="35" t="str">
        <x:v>CORE_FOR_WORK_CLUSTERING</x:v>
      </x:c>
      <x:c r="F164" s="20" t="str">
        <x:v>At least one German literary record without translation evidence.</x:v>
      </x:c>
      <x:c r="G164" s="20" t="str">
        <x:v>ger</x:v>
      </x:c>
      <x:c r="H164" s="20" t="n">
        <x:v>2</x:v>
      </x:c>
      <x:c r="I164" s="20" t="n">
        <x:v>2</x:v>
      </x:c>
      <x:c r="J164" s="20" t="n">
        <x:v>0</x:v>
      </x:c>
      <x:c r="K164" s="20" t="n">
        <x:v>2</x:v>
      </x:c>
      <x:c r="L164" s="20" t="str">
        <x:v>961015845 | 948097205</x:v>
      </x:c>
    </x:row>
    <x:row r="165" ht="44" customHeight="1">
      <x:c r="A165" s="20" t="str">
        <x:v>said-fa02c311c8</x:v>
      </x:c>
      <x:c r="B165" s="20" t="str">
        <x:v>SAID</x:v>
      </x:c>
      <x:c r="C165" s="20" t="str">
        <x:v>Zvijer koje nema : bestijarij</x:v>
      </x:c>
      <x:c r="D165" s="20" t="n">
        <x:v>1</x:v>
      </x:c>
      <x:c r="E165" s="36" t="str">
        <x:v>AUTO_EXCLUDE_NON_GERMAN</x:v>
      </x:c>
      <x:c r="F165" s="20" t="str">
        <x:v>All records are non-German publications.</x:v>
      </x:c>
      <x:c r="G165" s="20" t="str">
        <x:v>hrv</x:v>
      </x:c>
      <x:c r="H165" s="20" t="n">
        <x:v>1</x:v>
      </x:c>
      <x:c r="I165" s="20" t="n">
        <x:v>0</x:v>
      </x:c>
      <x:c r="J165" s="20" t="n">
        <x:v>1</x:v>
      </x:c>
      <x:c r="K165" s="20" t="n">
        <x:v>0</x:v>
      </x:c>
      <x:c r="L165" s="20" t="str">
        <x:v>991449800</x:v>
      </x:c>
    </x:row>
    <x:row r="166" ht="44" customHeight="1">
      <x:c r="A166" s="20" t="str">
        <x:v>nassir-djafari-01e782b4a1</x:v>
      </x:c>
      <x:c r="B166" s="20" t="str">
        <x:v>Nassir Djafari</x:v>
      </x:c>
      <x:c r="C166" s="20" t="str">
        <x:v>Der Großcousin : Roman</x:v>
      </x:c>
      <x:c r="D166" s="20" t="n">
        <x:v>1</x:v>
      </x:c>
      <x:c r="E166" s="35" t="str">
        <x:v>CORE_FOR_WORK_CLUSTERING</x:v>
      </x:c>
      <x:c r="F166" s="20" t="str">
        <x:v>At least one German literary record without translation evidence.</x:v>
      </x:c>
      <x:c r="G166" s="20" t="str">
        <x:v>ger</x:v>
      </x:c>
      <x:c r="H166" s="20" t="n">
        <x:v>1</x:v>
      </x:c>
      <x:c r="I166" s="20" t="n">
        <x:v>1</x:v>
      </x:c>
      <x:c r="J166" s="20" t="n">
        <x:v>0</x:v>
      </x:c>
      <x:c r="K166" s="20" t="n">
        <x:v>1</x:v>
      </x:c>
      <x:c r="L166" s="20" t="str">
        <x:v>1322567840</x:v>
      </x:c>
    </x:row>
    <x:row r="167" ht="44" customHeight="1">
      <x:c r="A167" s="20" t="str">
        <x:v>nassir-djafari-646239da16</x:v>
      </x:c>
      <x:c r="B167" s="20" t="str">
        <x:v>Nassir Djafari</x:v>
      </x:c>
      <x:c r="C167" s="20" t="str">
        <x:v>Eine Woche, ein Leben : Roman</x:v>
      </x:c>
      <x:c r="D167" s="20" t="n">
        <x:v>2</x:v>
      </x:c>
      <x:c r="E167" s="35" t="str">
        <x:v>CORE_FOR_WORK_CLUSTERING</x:v>
      </x:c>
      <x:c r="F167" s="20" t="str">
        <x:v>At least one German literary record without translation evidence.</x:v>
      </x:c>
      <x:c r="G167" s="20" t="str">
        <x:v>ger</x:v>
      </x:c>
      <x:c r="H167" s="20" t="n">
        <x:v>2</x:v>
      </x:c>
      <x:c r="I167" s="20" t="n">
        <x:v>2</x:v>
      </x:c>
      <x:c r="J167" s="20" t="n">
        <x:v>0</x:v>
      </x:c>
      <x:c r="K167" s="20" t="n">
        <x:v>2</x:v>
      </x:c>
      <x:c r="L167" s="20" t="str">
        <x:v>1239384270 | 1203394721</x:v>
      </x:c>
    </x:row>
    <x:row r="168" ht="44" customHeight="1">
      <x:c r="A168" s="20" t="str">
        <x:v>nassir-djafari-abc18da381</x:v>
      </x:c>
      <x:c r="B168" s="20" t="str">
        <x:v>Nassir Djafari</x:v>
      </x:c>
      <x:c r="C168" s="20" t="str">
        <x:v>Mahtab : Roman</x:v>
      </x:c>
      <x:c r="D168" s="20" t="n">
        <x:v>1</x:v>
      </x:c>
      <x:c r="E168" s="35" t="str">
        <x:v>CORE_FOR_WORK_CLUSTERING</x:v>
      </x:c>
      <x:c r="F168" s="20" t="str">
        <x:v>At least one German literary record without translation evidence.</x:v>
      </x:c>
      <x:c r="G168" s="20" t="str">
        <x:v>ger</x:v>
      </x:c>
      <x:c r="H168" s="20" t="n">
        <x:v>1</x:v>
      </x:c>
      <x:c r="I168" s="20" t="n">
        <x:v>1</x:v>
      </x:c>
      <x:c r="J168" s="20" t="n">
        <x:v>0</x:v>
      </x:c>
      <x:c r="K168" s="20" t="n">
        <x:v>1</x:v>
      </x:c>
      <x:c r="L168" s="20" t="str">
        <x:v>1255041722</x:v>
      </x:c>
    </x:row>
    <x:row r="169" ht="44" customHeight="1">
      <x:c r="A169" s="20" t="str">
        <x:v>nassir-djafari-5cd01a78bd</x:v>
      </x:c>
      <x:c r="B169" s="20" t="str">
        <x:v>Nassir Djafari</x:v>
      </x:c>
      <x:c r="C169" s="20" t="str">
        <x:v>Tausend Fenster : Roman</x:v>
      </x:c>
      <x:c r="D169" s="20" t="n">
        <x:v>1</x:v>
      </x:c>
      <x:c r="E169" s="35" t="str">
        <x:v>CORE_FOR_WORK_CLUSTERING</x:v>
      </x:c>
      <x:c r="F169" s="20" t="str">
        <x:v>At least one German literary record without translation evidence.</x:v>
      </x:c>
      <x:c r="G169" s="20" t="str">
        <x:v>ger</x:v>
      </x:c>
      <x:c r="H169" s="20" t="n">
        <x:v>1</x:v>
      </x:c>
      <x:c r="I169" s="20" t="n">
        <x:v>1</x:v>
      </x:c>
      <x:c r="J169" s="20" t="n">
        <x:v>0</x:v>
      </x:c>
      <x:c r="K169" s="20" t="n">
        <x:v>1</x:v>
      </x:c>
      <x:c r="L169" s="20" t="str">
        <x:v>1403337357</x:v>
      </x:c>
    </x:row>
    <x:row r="170" ht="44" customHeight="1">
      <x:c r="A170" s="20" t="str">
        <x:v>sudabeh-mohafez-a6f449c5d9</x:v>
      </x:c>
      <x:c r="B170" s="20" t="str">
        <x:v>Sudabeh Mohafez</x:v>
      </x:c>
      <x:c r="C170" s="20" t="str">
        <x:v>[Das Lied vom Flederwisch] ; The feather-duster song : a fantastic bestiary</x:v>
      </x:c>
      <x:c r="D170" s="20" t="n">
        <x:v>1</x:v>
      </x:c>
      <x:c r="E170" s="36" t="str">
        <x:v>AUTO_EXCLUDE_NON_GERMAN</x:v>
      </x:c>
      <x:c r="F170" s="20" t="str">
        <x:v>All records are non-German publications.</x:v>
      </x:c>
      <x:c r="G170" s="20" t="str">
        <x:v>eng</x:v>
      </x:c>
      <x:c r="H170" s="20" t="n">
        <x:v>1</x:v>
      </x:c>
      <x:c r="I170" s="20" t="n">
        <x:v>0</x:v>
      </x:c>
      <x:c r="J170" s="20" t="n">
        <x:v>1</x:v>
      </x:c>
      <x:c r="K170" s="20" t="n">
        <x:v>0</x:v>
      </x:c>
      <x:c r="L170" s="20" t="str">
        <x:v>1297251369</x:v>
      </x:c>
    </x:row>
    <x:row r="171" ht="44" customHeight="1">
      <x:c r="A171" s="20" t="str">
        <x:v>sudabeh-mohafez-47a9fc5a3a</x:v>
      </x:c>
      <x:c r="B171" s="20" t="str">
        <x:v>Sudabeh Mohafez</x:v>
      </x:c>
      <x:c r="C171" s="20" t="str">
        <x:v>[Wüstenhimmel Sternenland] ; Cielo di sabbia</x:v>
      </x:c>
      <x:c r="D171" s="20" t="n">
        <x:v>1</x:v>
      </x:c>
      <x:c r="E171" s="36" t="str">
        <x:v>AUTO_EXCLUDE_NON_GERMAN</x:v>
      </x:c>
      <x:c r="F171" s="20" t="str">
        <x:v>All records are non-German publications.</x:v>
      </x:c>
      <x:c r="G171" s="20" t="str">
        <x:v>ita</x:v>
      </x:c>
      <x:c r="H171" s="20" t="n">
        <x:v>1</x:v>
      </x:c>
      <x:c r="I171" s="20" t="n">
        <x:v>0</x:v>
      </x:c>
      <x:c r="J171" s="20" t="n">
        <x:v>1</x:v>
      </x:c>
      <x:c r="K171" s="20" t="n">
        <x:v>0</x:v>
      </x:c>
      <x:c r="L171" s="20" t="str">
        <x:v>1147491828</x:v>
      </x:c>
    </x:row>
    <x:row r="172" ht="44" customHeight="1">
      <x:c r="A172" s="20" t="str">
        <x:v>sudabeh-mohafez-5ff0e32b1c</x:v>
      </x:c>
      <x:c r="B172" s="20" t="str">
        <x:v>Sudabeh Mohafez</x:v>
      </x:c>
      <x:c r="C172" s="20" t="str">
        <x:v>Anija Seedler, Sudabeh Mohafez: Schattenfraß – Ein Theatrum Mundi</x:v>
      </x:c>
      <x:c r="D172" s="20" t="n">
        <x:v>1</x:v>
      </x:c>
      <x:c r="E172" s="35" t="str">
        <x:v>CORE_FOR_WORK_CLUSTERING</x:v>
      </x:c>
      <x:c r="F172" s="20" t="str">
        <x:v>At least one German literary record without translation evidence.</x:v>
      </x:c>
      <x:c r="G172" s="20" t="str">
        <x:v>eng | ger</x:v>
      </x:c>
      <x:c r="H172" s="20" t="n">
        <x:v>1</x:v>
      </x:c>
      <x:c r="I172" s="20" t="n">
        <x:v>1</x:v>
      </x:c>
      <x:c r="J172" s="20" t="n">
        <x:v>0</x:v>
      </x:c>
      <x:c r="K172" s="20" t="n">
        <x:v>1</x:v>
      </x:c>
      <x:c r="L172" s="20" t="str">
        <x:v>127521326X</x:v>
      </x:c>
    </x:row>
    <x:row r="173" ht="44" customHeight="1">
      <x:c r="A173" s="20" t="str">
        <x:v>sudabeh-mohafez-c47712e465</x:v>
      </x:c>
      <x:c r="B173" s="20" t="str">
        <x:v>Sudabeh Mohafez</x:v>
      </x:c>
      <x:c r="C173" s="20" t="str">
        <x:v>Anija Seedler, Sudabeh Mohafez: Schattenfraß – Ein Theatrum Mundi : enhanced</x:v>
      </x:c>
      <x:c r="D173" s="20" t="n">
        <x:v>1</x:v>
      </x:c>
      <x:c r="E173" s="35" t="str">
        <x:v>CORE_FOR_WORK_CLUSTERING</x:v>
      </x:c>
      <x:c r="F173" s="20" t="str">
        <x:v>At least one German literary record without translation evidence.</x:v>
      </x:c>
      <x:c r="G173" s="20" t="str">
        <x:v>eng | ger</x:v>
      </x:c>
      <x:c r="H173" s="20" t="n">
        <x:v>1</x:v>
      </x:c>
      <x:c r="I173" s="20" t="n">
        <x:v>1</x:v>
      </x:c>
      <x:c r="J173" s="20" t="n">
        <x:v>0</x:v>
      </x:c>
      <x:c r="K173" s="20" t="n">
        <x:v>1</x:v>
      </x:c>
      <x:c r="L173" s="20" t="str">
        <x:v>1275213286</x:v>
      </x:c>
    </x:row>
    <x:row r="174" ht="44" customHeight="1">
      <x:c r="A174" s="20" t="str">
        <x:v>sudabeh-mohafez-c7d65af21f</x:v>
      </x:c>
      <x:c r="B174" s="20" t="str">
        <x:v>Sudabeh Mohafez</x:v>
      </x:c>
      <x:c r="C174" s="20" t="str">
        <x:v>Behalte den Flug im Gedächtnis : Erzählungen</x:v>
      </x:c>
      <x:c r="D174" s="20" t="n">
        <x:v>1</x:v>
      </x:c>
      <x:c r="E174" s="35" t="str">
        <x:v>CORE_FOR_WORK_CLUSTERING</x:v>
      </x:c>
      <x:c r="F174" s="20" t="str">
        <x:v>At least one German literary record without translation evidence.</x:v>
      </x:c>
      <x:c r="G174" s="20" t="str">
        <x:v>ger</x:v>
      </x:c>
      <x:c r="H174" s="20" t="n">
        <x:v>1</x:v>
      </x:c>
      <x:c r="I174" s="20" t="n">
        <x:v>1</x:v>
      </x:c>
      <x:c r="J174" s="20" t="n">
        <x:v>0</x:v>
      </x:c>
      <x:c r="K174" s="20" t="n">
        <x:v>1</x:v>
      </x:c>
      <x:c r="L174" s="20" t="str">
        <x:v>1130667677</x:v>
      </x:c>
    </x:row>
    <x:row r="175" ht="44" customHeight="1">
      <x:c r="A175" s="20" t="str">
        <x:v>sudabeh-mohafez-a267f40057</x:v>
      </x:c>
      <x:c r="B175" s="20" t="str">
        <x:v>Sudabeh Mohafez</x:v>
      </x:c>
      <x:c r="C175" s="20" t="str">
        <x:v>brennt : Roman</x:v>
      </x:c>
      <x:c r="D175" s="20" t="n">
        <x:v>2</x:v>
      </x:c>
      <x:c r="E175" s="35" t="str">
        <x:v>CORE_FOR_WORK_CLUSTERING</x:v>
      </x:c>
      <x:c r="F175" s="20" t="str">
        <x:v>At least one German literary record without translation evidence.</x:v>
      </x:c>
      <x:c r="G175" s="20" t="str">
        <x:v>ger</x:v>
      </x:c>
      <x:c r="H175" s="20" t="n">
        <x:v>2</x:v>
      </x:c>
      <x:c r="I175" s="20" t="n">
        <x:v>2</x:v>
      </x:c>
      <x:c r="J175" s="20" t="n">
        <x:v>0</x:v>
      </x:c>
      <x:c r="K175" s="20" t="n">
        <x:v>2</x:v>
      </x:c>
      <x:c r="L175" s="20" t="str">
        <x:v>107998089X | 998801666</x:v>
      </x:c>
    </x:row>
    <x:row r="176" ht="44" customHeight="1">
      <x:c r="A176" s="20" t="str">
        <x:v>sudabeh-mohafez-04f424f450</x:v>
      </x:c>
      <x:c r="B176" s="20" t="str">
        <x:v>Sudabeh Mohafez</x:v>
      </x:c>
      <x:c r="C176" s="20" t="str">
        <x:v>Das Lied vom Flederwisch : ein fantastisches Bestiarium</x:v>
      </x:c>
      <x:c r="D176" s="20" t="n">
        <x:v>1</x:v>
      </x:c>
      <x:c r="E176" s="35" t="str">
        <x:v>CORE_FOR_WORK_CLUSTERING</x:v>
      </x:c>
      <x:c r="F176" s="20" t="str">
        <x:v>At least one German literary record without translation evidence.</x:v>
      </x:c>
      <x:c r="G176" s="20" t="str">
        <x:v>ger</x:v>
      </x:c>
      <x:c r="H176" s="20" t="n">
        <x:v>1</x:v>
      </x:c>
      <x:c r="I176" s="20" t="n">
        <x:v>1</x:v>
      </x:c>
      <x:c r="J176" s="20" t="n">
        <x:v>0</x:v>
      </x:c>
      <x:c r="K176" s="20" t="n">
        <x:v>1</x:v>
      </x:c>
      <x:c r="L176" s="20" t="str">
        <x:v>116848524X</x:v>
      </x:c>
    </x:row>
    <x:row r="177" ht="44" customHeight="1">
      <x:c r="A177" s="20" t="str">
        <x:v>sudabeh-mohafez-04cdc68024</x:v>
      </x:c>
      <x:c r="B177" s="20" t="str">
        <x:v>Sudabeh Mohafez</x:v>
      </x:c>
      <x:c r="C177" s="20" t="str">
        <x:v>Das Zehn-Zeilen-Buch</x:v>
      </x:c>
      <x:c r="D177" s="20" t="n">
        <x:v>1</x:v>
      </x:c>
      <x:c r="E177" s="35" t="str">
        <x:v>CORE_FOR_WORK_CLUSTERING</x:v>
      </x:c>
      <x:c r="F177" s="20" t="str">
        <x:v>At least one German literary record without translation evidence.</x:v>
      </x:c>
      <x:c r="G177" s="20" t="str">
        <x:v>ger</x:v>
      </x:c>
      <x:c r="H177" s="20" t="n">
        <x:v>1</x:v>
      </x:c>
      <x:c r="I177" s="20" t="n">
        <x:v>1</x:v>
      </x:c>
      <x:c r="J177" s="20" t="n">
        <x:v>0</x:v>
      </x:c>
      <x:c r="K177" s="20" t="n">
        <x:v>1</x:v>
      </x:c>
      <x:c r="L177" s="20" t="str">
        <x:v>1000390357</x:v>
      </x:c>
    </x:row>
    <x:row r="178" ht="44" customHeight="1">
      <x:c r="A178" s="20" t="str">
        <x:v>sudabeh-mohafez-58b6950cb6</x:v>
      </x:c>
      <x:c r="B178" s="20" t="str">
        <x:v>Sudabeh Mohafez</x:v>
      </x:c>
      <x:c r="C178" s="20" t="str">
        <x:v>Gespräch in Meeresnähe : Roman</x:v>
      </x:c>
      <x:c r="D178" s="20" t="n">
        <x:v>1</x:v>
      </x:c>
      <x:c r="E178" s="35" t="str">
        <x:v>CORE_FOR_WORK_CLUSTERING</x:v>
      </x:c>
      <x:c r="F178" s="20" t="str">
        <x:v>At least one German literary record without translation evidence.</x:v>
      </x:c>
      <x:c r="G178" s="20" t="str">
        <x:v>ger</x:v>
      </x:c>
      <x:c r="H178" s="20" t="n">
        <x:v>1</x:v>
      </x:c>
      <x:c r="I178" s="20" t="n">
        <x:v>1</x:v>
      </x:c>
      <x:c r="J178" s="20" t="n">
        <x:v>0</x:v>
      </x:c>
      <x:c r="K178" s="20" t="n">
        <x:v>1</x:v>
      </x:c>
      <x:c r="L178" s="20" t="str">
        <x:v>975174460</x:v>
      </x:c>
    </x:row>
    <x:row r="179" ht="44" customHeight="1">
      <x:c r="A179" s="20" t="str">
        <x:v>sudabeh-mohafez-5c50050bdd</x:v>
      </x:c>
      <x:c r="B179" s="20" t="str">
        <x:v>Sudabeh Mohafez</x:v>
      </x:c>
      <x:c r="C179" s="20" t="str">
        <x:v>Hoří</x:v>
      </x:c>
      <x:c r="D179" s="20" t="n">
        <x:v>1</x:v>
      </x:c>
      <x:c r="E179" s="36" t="str">
        <x:v>AUTO_EXCLUDE_NON_GERMAN</x:v>
      </x:c>
      <x:c r="F179" s="20" t="str">
        <x:v>All records are non-German publications.</x:v>
      </x:c>
      <x:c r="G179" s="20" t="str">
        <x:v>cze</x:v>
      </x:c>
      <x:c r="H179" s="20" t="n">
        <x:v>1</x:v>
      </x:c>
      <x:c r="I179" s="20" t="n">
        <x:v>0</x:v>
      </x:c>
      <x:c r="J179" s="20" t="n">
        <x:v>1</x:v>
      </x:c>
      <x:c r="K179" s="20" t="n">
        <x:v>0</x:v>
      </x:c>
      <x:c r="L179" s="20" t="str">
        <x:v>1054565724</x:v>
      </x:c>
    </x:row>
    <x:row r="180" ht="44" customHeight="1">
      <x:c r="A180" s="20" t="str">
        <x:v>sudabeh-mohafez-462201684d</x:v>
      </x:c>
      <x:c r="B180" s="20" t="str">
        <x:v>Sudabeh Mohafez</x:v>
      </x:c>
      <x:c r="C180" s="20" t="str">
        <x:v>Kitsune : 3 Mikroromane</x:v>
      </x:c>
      <x:c r="D180" s="20" t="n">
        <x:v>1</x:v>
      </x:c>
      <x:c r="E180" s="35" t="str">
        <x:v>CORE_FOR_WORK_CLUSTERING</x:v>
      </x:c>
      <x:c r="F180" s="20" t="str">
        <x:v>At least one German literary record without translation evidence.</x:v>
      </x:c>
      <x:c r="G180" s="20" t="str">
        <x:v>ger</x:v>
      </x:c>
      <x:c r="H180" s="20" t="n">
        <x:v>1</x:v>
      </x:c>
      <x:c r="I180" s="20" t="n">
        <x:v>1</x:v>
      </x:c>
      <x:c r="J180" s="20" t="n">
        <x:v>0</x:v>
      </x:c>
      <x:c r="K180" s="20" t="n">
        <x:v>1</x:v>
      </x:c>
      <x:c r="L180" s="20" t="str">
        <x:v>1076515916</x:v>
      </x:c>
    </x:row>
    <x:row r="181" ht="44" customHeight="1">
      <x:c r="A181" s="20" t="str">
        <x:v>sudabeh-mohafez-5901c9c8a8</x:v>
      </x:c>
      <x:c r="B181" s="20" t="str">
        <x:v>Sudabeh Mohafez</x:v>
      </x:c>
      <x:c r="C181" s="20" t="str">
        <x:v>Wüstenhimmel Sternenland : Erzählungen</x:v>
      </x:c>
      <x:c r="D181" s="20" t="n">
        <x:v>2</x:v>
      </x:c>
      <x:c r="E181" s="35" t="str">
        <x:v>CORE_FOR_WORK_CLUSTERING</x:v>
      </x:c>
      <x:c r="F181" s="20" t="str">
        <x:v>At least one German literary record without translation evidence.</x:v>
      </x:c>
      <x:c r="G181" s="20" t="str">
        <x:v>ger</x:v>
      </x:c>
      <x:c r="H181" s="20" t="n">
        <x:v>2</x:v>
      </x:c>
      <x:c r="I181" s="20" t="n">
        <x:v>2</x:v>
      </x:c>
      <x:c r="J181" s="20" t="n">
        <x:v>0</x:v>
      </x:c>
      <x:c r="K181" s="20" t="n">
        <x:v>2</x:v>
      </x:c>
      <x:c r="L181" s="20" t="str">
        <x:v>982456697 | 971634696</x:v>
      </x:c>
    </x:row>
    <x:row r="182" ht="44" customHeight="1">
      <x:c r="A182" s="20" t="str">
        <x:v>cyrus-atabay-b37880698c</x:v>
      </x:c>
      <x:c r="B182" s="20" t="str">
        <x:v>Cyrus Atabay</x:v>
      </x:c>
      <x:c r="C182" s="20" t="str">
        <x:v>An - und Abflüge : Gedichte</x:v>
      </x:c>
      <x:c r="D182" s="20" t="n">
        <x:v>1</x:v>
      </x:c>
      <x:c r="E182" s="35" t="str">
        <x:v>CORE_FOR_WORK_CLUSTERING</x:v>
      </x:c>
      <x:c r="F182" s="20" t="str">
        <x:v>At least one German literary record without translation evidence.</x:v>
      </x:c>
      <x:c r="G182" s="20" t="str">
        <x:v>ger</x:v>
      </x:c>
      <x:c r="H182" s="20" t="n">
        <x:v>1</x:v>
      </x:c>
      <x:c r="I182" s="20" t="n">
        <x:v>1</x:v>
      </x:c>
      <x:c r="J182" s="20" t="n">
        <x:v>0</x:v>
      </x:c>
      <x:c r="K182" s="20" t="n">
        <x:v>1</x:v>
      </x:c>
      <x:c r="L182" s="20" t="str">
        <x:v>450155226</x:v>
      </x:c>
    </x:row>
    <x:row r="183" ht="44" customHeight="1">
      <x:c r="A183" s="20" t="str">
        <x:v>cyrus-atabay-8d38774201</x:v>
      </x:c>
      <x:c r="B183" s="20" t="str">
        <x:v>Cyrus Atabay</x:v>
      </x:c>
      <x:c r="C183" s="20" t="str">
        <x:v>An diesem Tage lasen wir keine Zeile mehr : Gedichte</x:v>
      </x:c>
      <x:c r="D183" s="20" t="n">
        <x:v>1</x:v>
      </x:c>
      <x:c r="E183" s="35" t="str">
        <x:v>CORE_FOR_WORK_CLUSTERING</x:v>
      </x:c>
      <x:c r="F183" s="20" t="str">
        <x:v>At least one German literary record without translation evidence.</x:v>
      </x:c>
      <x:c r="G183" s="20" t="str">
        <x:v>ger</x:v>
      </x:c>
      <x:c r="H183" s="20" t="n">
        <x:v>1</x:v>
      </x:c>
      <x:c r="I183" s="20" t="n">
        <x:v>1</x:v>
      </x:c>
      <x:c r="J183" s="20" t="n">
        <x:v>0</x:v>
      </x:c>
      <x:c r="K183" s="20" t="n">
        <x:v>1</x:v>
      </x:c>
      <x:c r="L183" s="20" t="str">
        <x:v>740293087</x:v>
      </x:c>
    </x:row>
    <x:row r="184" ht="44" customHeight="1">
      <x:c r="A184" s="20" t="str">
        <x:v>cyrus-atabay-71923e6d37</x:v>
      </x:c>
      <x:c r="B184" s="20" t="str">
        <x:v>Cyrus Atabay</x:v>
      </x:c>
      <x:c r="C184" s="20" t="str">
        <x:v>Das Auftauchen an einem anderen Ort : Gedichte</x:v>
      </x:c>
      <x:c r="D184" s="20" t="n">
        <x:v>1</x:v>
      </x:c>
      <x:c r="E184" s="35" t="str">
        <x:v>CORE_FOR_WORK_CLUSTERING</x:v>
      </x:c>
      <x:c r="F184" s="20" t="str">
        <x:v>At least one German literary record without translation evidence.</x:v>
      </x:c>
      <x:c r="G184" s="20" t="str">
        <x:v>ger</x:v>
      </x:c>
      <x:c r="H184" s="20" t="n">
        <x:v>1</x:v>
      </x:c>
      <x:c r="I184" s="20" t="n">
        <x:v>1</x:v>
      </x:c>
      <x:c r="J184" s="20" t="n">
        <x:v>0</x:v>
      </x:c>
      <x:c r="K184" s="20" t="n">
        <x:v>1</x:v>
      </x:c>
      <x:c r="L184" s="20" t="str">
        <x:v>770243363</x:v>
      </x:c>
    </x:row>
    <x:row r="185" ht="44" customHeight="1">
      <x:c r="A185" s="20" t="str">
        <x:v>cyrus-atabay-8c8e6161a3</x:v>
      </x:c>
      <x:c r="B185" s="20" t="str">
        <x:v>Cyrus Atabay</x:v>
      </x:c>
      <x:c r="C185" s="20" t="str">
        <x:v>Die Leidenschaft der Neugierde : neue Gedichte</x:v>
      </x:c>
      <x:c r="D185" s="20" t="n">
        <x:v>1</x:v>
      </x:c>
      <x:c r="E185" s="35" t="str">
        <x:v>CORE_FOR_WORK_CLUSTERING</x:v>
      </x:c>
      <x:c r="F185" s="20" t="str">
        <x:v>At least one German literary record without translation evidence.</x:v>
      </x:c>
      <x:c r="G185" s="20" t="str">
        <x:v>ger</x:v>
      </x:c>
      <x:c r="H185" s="20" t="n">
        <x:v>1</x:v>
      </x:c>
      <x:c r="I185" s="20" t="n">
        <x:v>1</x:v>
      </x:c>
      <x:c r="J185" s="20" t="n">
        <x:v>0</x:v>
      </x:c>
      <x:c r="K185" s="20" t="n">
        <x:v>1</x:v>
      </x:c>
      <x:c r="L185" s="20" t="str">
        <x:v>810531518</x:v>
      </x:c>
    </x:row>
    <x:row r="186" ht="44" customHeight="1">
      <x:c r="A186" s="20" t="str">
        <x:v>cyrus-atabay-f2a17014d6</x:v>
      </x:c>
      <x:c r="B186" s="20" t="str">
        <x:v>Cyrus Atabay</x:v>
      </x:c>
      <x:c r="C186" s="20" t="str">
        <x:v>Die Linien des Lebens : 61 Gedichte in 5 H</x:v>
      </x:c>
      <x:c r="D186" s="20" t="n">
        <x:v>1</x:v>
      </x:c>
      <x:c r="E186" s="35" t="str">
        <x:v>CORE_FOR_WORK_CLUSTERING</x:v>
      </x:c>
      <x:c r="F186" s="20" t="str">
        <x:v>At least one German literary record without translation evidence.</x:v>
      </x:c>
      <x:c r="G186" s="20" t="str">
        <x:v>ger</x:v>
      </x:c>
      <x:c r="H186" s="20" t="n">
        <x:v>1</x:v>
      </x:c>
      <x:c r="I186" s="20" t="n">
        <x:v>1</x:v>
      </x:c>
      <x:c r="J186" s="20" t="n">
        <x:v>0</x:v>
      </x:c>
      <x:c r="K186" s="20" t="n">
        <x:v>1</x:v>
      </x:c>
      <x:c r="L186" s="20" t="str">
        <x:v>870057421</x:v>
      </x:c>
    </x:row>
    <x:row r="187" ht="44" customHeight="1">
      <x:c r="A187" s="20" t="str">
        <x:v>cyrus-atabay-e2980d11fb</x:v>
      </x:c>
      <x:c r="B187" s="20" t="str">
        <x:v>Cyrus Atabay</x:v>
      </x:c>
      <x:c r="C187" s="20" t="str">
        <x:v>Die Sonne von Tabriz : Kammersymphonie für Sopran und fünfzehn Instrumente ; mit Texten von Dschalal ed-din Rumi, in der Nachdichtung von Cyrus Atabay</x:v>
      </x:c>
      <x:c r="D187" s="20" t="n">
        <x:v>2</x:v>
      </x:c>
      <x:c r="E187" s="36" t="str">
        <x:v>AUTO_EXCLUDE_NON_LITERARY</x:v>
      </x:c>
      <x:c r="F187" s="20" t="str">
        <x:v>German record(s), but no stated literary subject or genre signal.</x:v>
      </x:c>
      <x:c r="G187" s="20" t="str">
        <x:v>ger</x:v>
      </x:c>
      <x:c r="H187" s="20" t="n">
        <x:v>0</x:v>
      </x:c>
      <x:c r="I187" s="20" t="n">
        <x:v>2</x:v>
      </x:c>
      <x:c r="J187" s="20" t="n">
        <x:v>0</x:v>
      </x:c>
      <x:c r="K187" s="20" t="n">
        <x:v>0</x:v>
      </x:c>
      <x:c r="L187" s="20" t="str">
        <x:v>358452813 | 358452805</x:v>
      </x:c>
    </x:row>
    <x:row r="188" ht="44" customHeight="1">
      <x:c r="A188" s="20" t="str">
        <x:v>cyrus-atabay-dd7778f9b0</x:v>
      </x:c>
      <x:c r="B188" s="20" t="str">
        <x:v>Cyrus Atabay</x:v>
      </x:c>
      <x:c r="C188" s="20" t="str">
        <x:v>Die Wege des Leichtsinns : zerstreutes äolisches Material ; Gedichte</x:v>
      </x:c>
      <x:c r="D188" s="20" t="n">
        <x:v>1</x:v>
      </x:c>
      <x:c r="E188" s="35" t="str">
        <x:v>CORE_FOR_WORK_CLUSTERING</x:v>
      </x:c>
      <x:c r="F188" s="20" t="str">
        <x:v>At least one German literary record without translation evidence.</x:v>
      </x:c>
      <x:c r="G188" s="20" t="str">
        <x:v>ger</x:v>
      </x:c>
      <x:c r="H188" s="20" t="n">
        <x:v>1</x:v>
      </x:c>
      <x:c r="I188" s="20" t="n">
        <x:v>1</x:v>
      </x:c>
      <x:c r="J188" s="20" t="n">
        <x:v>0</x:v>
      </x:c>
      <x:c r="K188" s="20" t="n">
        <x:v>1</x:v>
      </x:c>
      <x:c r="L188" s="20" t="str">
        <x:v>94266566X</x:v>
      </x:c>
    </x:row>
    <x:row r="189" ht="44" customHeight="1">
      <x:c r="A189" s="20" t="str">
        <x:v>cyrus-atabay-d167d31154</x:v>
      </x:c>
      <x:c r="B189" s="20" t="str">
        <x:v>Cyrus Atabay</x:v>
      </x:c>
      <x:c r="C189" s="20" t="str">
        <x:v>Doppelte Wahrheit : Gedichte u. Prosa</x:v>
      </x:c>
      <x:c r="D189" s="20" t="n">
        <x:v>1</x:v>
      </x:c>
      <x:c r="E189" s="35" t="str">
        <x:v>CORE_FOR_WORK_CLUSTERING</x:v>
      </x:c>
      <x:c r="F189" s="20" t="str">
        <x:v>At least one German literary record without translation evidence.</x:v>
      </x:c>
      <x:c r="G189" s="20" t="str">
        <x:v>ger</x:v>
      </x:c>
      <x:c r="H189" s="20" t="n">
        <x:v>1</x:v>
      </x:c>
      <x:c r="I189" s="20" t="n">
        <x:v>1</x:v>
      </x:c>
      <x:c r="J189" s="20" t="n">
        <x:v>0</x:v>
      </x:c>
      <x:c r="K189" s="20" t="n">
        <x:v>1</x:v>
      </x:c>
      <x:c r="L189" s="20" t="str">
        <x:v>455567301</x:v>
      </x:c>
    </x:row>
    <x:row r="190" ht="44" customHeight="1">
      <x:c r="A190" s="20" t="str">
        <x:v>cyrus-atabay-2afd2f99e4</x:v>
      </x:c>
      <x:c r="B190" s="20" t="str">
        <x:v>Cyrus Atabay</x:v>
      </x:c>
      <x:c r="C190" s="20" t="str">
        <x:v>Einige Schatten</x:v>
      </x:c>
      <x:c r="D190" s="20" t="n">
        <x:v>1</x:v>
      </x:c>
      <x:c r="E190" s="35" t="str">
        <x:v>CORE_FOR_WORK_CLUSTERING</x:v>
      </x:c>
      <x:c r="F190" s="20" t="str">
        <x:v>At least one German literary record without translation evidence.</x:v>
      </x:c>
      <x:c r="G190" s="20" t="str">
        <x:v>ger</x:v>
      </x:c>
      <x:c r="H190" s="20" t="n">
        <x:v>1</x:v>
      </x:c>
      <x:c r="I190" s="20" t="n">
        <x:v>1</x:v>
      </x:c>
      <x:c r="J190" s="20" t="n">
        <x:v>0</x:v>
      </x:c>
      <x:c r="K190" s="20" t="n">
        <x:v>1</x:v>
      </x:c>
      <x:c r="L190" s="20" t="str">
        <x:v>450155242</x:v>
      </x:c>
    </x:row>
    <x:row r="191" ht="44" customHeight="1">
      <x:c r="A191" s="20" t="str">
        <x:v>cyrus-atabay-01a9644a77</x:v>
      </x:c>
      <x:c r="B191" s="20" t="str">
        <x:v>Cyrus Atabay</x:v>
      </x:c>
      <x:c r="C191" s="20" t="str">
        <x:v>Gedichte</x:v>
      </x:c>
      <x:c r="D191" s="20" t="n">
        <x:v>1</x:v>
      </x:c>
      <x:c r="E191" s="35" t="str">
        <x:v>CORE_FOR_WORK_CLUSTERING</x:v>
      </x:c>
      <x:c r="F191" s="20" t="str">
        <x:v>At least one German literary record without translation evidence.</x:v>
      </x:c>
      <x:c r="G191" s="20" t="str">
        <x:v>ger</x:v>
      </x:c>
      <x:c r="H191" s="20" t="n">
        <x:v>1</x:v>
      </x:c>
      <x:c r="I191" s="20" t="n">
        <x:v>1</x:v>
      </x:c>
      <x:c r="J191" s="20" t="n">
        <x:v>0</x:v>
      </x:c>
      <x:c r="K191" s="20" t="n">
        <x:v>1</x:v>
      </x:c>
      <x:c r="L191" s="20" t="str">
        <x:v>911089543</x:v>
      </x:c>
    </x:row>
    <x:row r="192" ht="44" customHeight="1">
      <x:c r="A192" s="20" t="str">
        <x:v>cyrus-atabay-5687f66248</x:v>
      </x:c>
      <x:c r="B192" s="20" t="str">
        <x:v>Cyrus Atabay</x:v>
      </x:c>
      <x:c r="C192" s="20" t="str">
        <x:v>Gegenüber der Sonne : Gedichte u. kleine Prosa</x:v>
      </x:c>
      <x:c r="D192" s="20" t="n">
        <x:v>1</x:v>
      </x:c>
      <x:c r="E192" s="35" t="str">
        <x:v>CORE_FOR_WORK_CLUSTERING</x:v>
      </x:c>
      <x:c r="F192" s="20" t="str">
        <x:v>At least one German literary record without translation evidence.</x:v>
      </x:c>
      <x:c r="G192" s="20" t="str">
        <x:v>ger</x:v>
      </x:c>
      <x:c r="H192" s="20" t="n">
        <x:v>1</x:v>
      </x:c>
      <x:c r="I192" s="20" t="n">
        <x:v>1</x:v>
      </x:c>
      <x:c r="J192" s="20" t="n">
        <x:v>0</x:v>
      </x:c>
      <x:c r="K192" s="20" t="n">
        <x:v>1</x:v>
      </x:c>
      <x:c r="L192" s="20" t="str">
        <x:v>450155250</x:v>
      </x:c>
    </x:row>
    <x:row r="193" ht="44" customHeight="1">
      <x:c r="A193" s="20" t="str">
        <x:v>cyrus-atabay-1af695d679</x:v>
      </x:c>
      <x:c r="B193" s="20" t="str">
        <x:v>Cyrus Atabay</x:v>
      </x:c>
      <x:c r="C193" s="20" t="str">
        <x:v>Journal de Prospéro</x:v>
      </x:c>
      <x:c r="D193" s="20" t="n">
        <x:v>1</x:v>
      </x:c>
      <x:c r="E193" s="36" t="str">
        <x:v>AUTO_EXCLUDE_NON_GERMAN</x:v>
      </x:c>
      <x:c r="F193" s="20" t="str">
        <x:v>All records are non-German publications.</x:v>
      </x:c>
      <x:c r="G193" s="20" t="str">
        <x:v>fre</x:v>
      </x:c>
      <x:c r="H193" s="20" t="n">
        <x:v>1</x:v>
      </x:c>
      <x:c r="I193" s="20" t="n">
        <x:v>0</x:v>
      </x:c>
      <x:c r="J193" s="20" t="n">
        <x:v>0</x:v>
      </x:c>
      <x:c r="K193" s="20" t="n">
        <x:v>0</x:v>
      </x:c>
      <x:c r="L193" s="20" t="str">
        <x:v>96102531X</x:v>
      </x:c>
    </x:row>
    <x:row r="194" ht="44" customHeight="1">
      <x:c r="A194" s="20" t="str">
        <x:v>cyrus-atabay-bcb5db44a4</x:v>
      </x:c>
      <x:c r="B194" s="20" t="str">
        <x:v>Cyrus Atabay</x:v>
      </x:c>
      <x:c r="C194" s="20" t="str">
        <x:v>Leise Revolten : kleine Prosa aus drei Jahrzehnten</x:v>
      </x:c>
      <x:c r="D194" s="20" t="n">
        <x:v>1</x:v>
      </x:c>
      <x:c r="E194" s="35" t="str">
        <x:v>CORE_FOR_WORK_CLUSTERING</x:v>
      </x:c>
      <x:c r="F194" s="20" t="str">
        <x:v>At least one German literary record without translation evidence.</x:v>
      </x:c>
      <x:c r="G194" s="20" t="str">
        <x:v>ger</x:v>
      </x:c>
      <x:c r="H194" s="20" t="n">
        <x:v>1</x:v>
      </x:c>
      <x:c r="I194" s="20" t="n">
        <x:v>1</x:v>
      </x:c>
      <x:c r="J194" s="20" t="n">
        <x:v>0</x:v>
      </x:c>
      <x:c r="K194" s="20" t="n">
        <x:v>1</x:v>
      </x:c>
      <x:c r="L194" s="20" t="str">
        <x:v>930241622</x:v>
      </x:c>
    </x:row>
    <x:row r="195" ht="44" customHeight="1">
      <x:c r="A195" s="20" t="str">
        <x:v>cyrus-atabay-d99e7012db</x:v>
      </x:c>
      <x:c r="B195" s="20" t="str">
        <x:v>Cyrus Atabay</x:v>
      </x:c>
      <x:c r="C195" s="20" t="str">
        <x:v>Leuchtfeuer : Musik für gemischten Chor ; mit Texten von Cyrus Atabay ; (2007)</x:v>
      </x:c>
      <x:c r="D195" s="20" t="n">
        <x:v>1</x:v>
      </x:c>
      <x:c r="E195" s="36" t="str">
        <x:v>AUTO_EXCLUDE_NON_LITERARY</x:v>
      </x:c>
      <x:c r="F195" s="20" t="str">
        <x:v>German record(s), but no stated literary subject or genre signal.</x:v>
      </x:c>
      <x:c r="G195" s="20" t="str">
        <x:v>ger</x:v>
      </x:c>
      <x:c r="H195" s="20" t="n">
        <x:v>0</x:v>
      </x:c>
      <x:c r="I195" s="20" t="n">
        <x:v>1</x:v>
      </x:c>
      <x:c r="J195" s="20" t="n">
        <x:v>0</x:v>
      </x:c>
      <x:c r="K195" s="20" t="n">
        <x:v>0</x:v>
      </x:c>
      <x:c r="L195" s="20" t="str">
        <x:v>995802416</x:v>
      </x:c>
    </x:row>
    <x:row r="196" ht="44" customHeight="1">
      <x:c r="A196" s="20" t="str">
        <x:v>cyrus-atabay-79d4f09bce</x:v>
      </x:c>
      <x:c r="B196" s="20" t="str">
        <x:v>Cyrus Atabay</x:v>
      </x:c>
      <x:c r="C196" s="20" t="str">
        <x:v>Meditation am Webstuhl : Neue Gedichte</x:v>
      </x:c>
      <x:c r="D196" s="20" t="n">
        <x:v>1</x:v>
      </x:c>
      <x:c r="E196" s="35" t="str">
        <x:v>CORE_FOR_WORK_CLUSTERING</x:v>
      </x:c>
      <x:c r="F196" s="20" t="str">
        <x:v>At least one German literary record without translation evidence.</x:v>
      </x:c>
      <x:c r="G196" s="20" t="str">
        <x:v>ger</x:v>
      </x:c>
      <x:c r="H196" s="20" t="n">
        <x:v>1</x:v>
      </x:c>
      <x:c r="I196" s="20" t="n">
        <x:v>1</x:v>
      </x:c>
      <x:c r="J196" s="20" t="n">
        <x:v>0</x:v>
      </x:c>
      <x:c r="K196" s="20" t="n">
        <x:v>1</x:v>
      </x:c>
      <x:c r="L196" s="20" t="str">
        <x:v>450155234</x:v>
      </x:c>
    </x:row>
    <x:row r="197" ht="44" customHeight="1">
      <x:c r="A197" s="20" t="str">
        <x:v>cyrus-atabay-02263a21d8</x:v>
      </x:c>
      <x:c r="B197" s="20" t="str">
        <x:v>Cyrus Atabay</x:v>
      </x:c>
      <x:c r="C197" s="20" t="str">
        <x:v>Prosperos Tagebuch : Gedichte</x:v>
      </x:c>
      <x:c r="D197" s="20" t="n">
        <x:v>2</x:v>
      </x:c>
      <x:c r="E197" s="35" t="str">
        <x:v>CORE_FOR_WORK_CLUSTERING</x:v>
      </x:c>
      <x:c r="F197" s="20" t="str">
        <x:v>At least one German literary record without translation evidence.</x:v>
      </x:c>
      <x:c r="G197" s="20" t="str">
        <x:v>ger</x:v>
      </x:c>
      <x:c r="H197" s="20" t="n">
        <x:v>2</x:v>
      </x:c>
      <x:c r="I197" s="20" t="n">
        <x:v>2</x:v>
      </x:c>
      <x:c r="J197" s="20" t="n">
        <x:v>0</x:v>
      </x:c>
      <x:c r="K197" s="20" t="n">
        <x:v>2</x:v>
      </x:c>
      <x:c r="L197" s="20" t="str">
        <x:v>1148124985 | 850702585</x:v>
      </x:c>
    </x:row>
    <x:row r="198" ht="44" customHeight="1">
      <x:c r="A198" s="20" t="str">
        <x:v>cyrus-atabay-8eef27a1c2</x:v>
      </x:c>
      <x:c r="B198" s="20" t="str">
        <x:v>Cyrus Atabay</x:v>
      </x:c>
      <x:c r="C198" s="20" t="str">
        <x:v>Puschkiniana : Gedichte</x:v>
      </x:c>
      <x:c r="D198" s="20" t="n">
        <x:v>1</x:v>
      </x:c>
      <x:c r="E198" s="35" t="str">
        <x:v>CORE_FOR_WORK_CLUSTERING</x:v>
      </x:c>
      <x:c r="F198" s="20" t="str">
        <x:v>At least one German literary record without translation evidence.</x:v>
      </x:c>
      <x:c r="G198" s="20" t="str">
        <x:v>ger</x:v>
      </x:c>
      <x:c r="H198" s="20" t="n">
        <x:v>1</x:v>
      </x:c>
      <x:c r="I198" s="20" t="n">
        <x:v>1</x:v>
      </x:c>
      <x:c r="J198" s="20" t="n">
        <x:v>0</x:v>
      </x:c>
      <x:c r="K198" s="20" t="n">
        <x:v>1</x:v>
      </x:c>
      <x:c r="L198" s="20" t="str">
        <x:v>910024359</x:v>
      </x:c>
    </x:row>
    <x:row r="199" ht="44" customHeight="1">
      <x:c r="A199" s="20" t="str">
        <x:v>cyrus-atabay-b566a483de</x:v>
      </x:c>
      <x:c r="B199" s="20" t="str">
        <x:v>Cyrus Atabay</x:v>
      </x:c>
      <x:c r="C199" s="20" t="str">
        <x:v>Salut den Tieren : e. Bestiarium</x:v>
      </x:c>
      <x:c r="D199" s="20" t="n">
        <x:v>1</x:v>
      </x:c>
      <x:c r="E199" s="35" t="str">
        <x:v>CORE_FOR_WORK_CLUSTERING</x:v>
      </x:c>
      <x:c r="F199" s="20" t="str">
        <x:v>At least one German literary record without translation evidence.</x:v>
      </x:c>
      <x:c r="G199" s="20" t="str">
        <x:v>ger</x:v>
      </x:c>
      <x:c r="H199" s="20" t="n">
        <x:v>1</x:v>
      </x:c>
      <x:c r="I199" s="20" t="n">
        <x:v>1</x:v>
      </x:c>
      <x:c r="J199" s="20" t="n">
        <x:v>0</x:v>
      </x:c>
      <x:c r="K199" s="20" t="n">
        <x:v>1</x:v>
      </x:c>
      <x:c r="L199" s="20" t="str">
        <x:v>840173318</x:v>
      </x:c>
    </x:row>
    <x:row r="200" ht="44" customHeight="1">
      <x:c r="A200" s="20" t="str">
        <x:v>cyrus-atabay-3d908c8e93</x:v>
      </x:c>
      <x:c r="B200" s="20" t="str">
        <x:v>Cyrus Atabay</x:v>
      </x:c>
      <x:c r="C200" s="20" t="str">
        <x:v>Stadtplan von Samarkand : Porträts, Skizzen, Gedichte</x:v>
      </x:c>
      <x:c r="D200" s="20" t="n">
        <x:v>1</x:v>
      </x:c>
      <x:c r="E200" s="35" t="str">
        <x:v>CORE_FOR_WORK_CLUSTERING</x:v>
      </x:c>
      <x:c r="F200" s="20" t="str">
        <x:v>At least one German literary record without translation evidence.</x:v>
      </x:c>
      <x:c r="G200" s="20" t="str">
        <x:v>ger</x:v>
      </x:c>
      <x:c r="H200" s="20" t="n">
        <x:v>1</x:v>
      </x:c>
      <x:c r="I200" s="20" t="n">
        <x:v>1</x:v>
      </x:c>
      <x:c r="J200" s="20" t="n">
        <x:v>0</x:v>
      </x:c>
      <x:c r="K200" s="20" t="n">
        <x:v>1</x:v>
      </x:c>
      <x:c r="L200" s="20" t="str">
        <x:v>830671560</x:v>
      </x:c>
    </x:row>
    <x:row r="201" ht="44" customHeight="1">
      <x:c r="A201" s="20" t="str">
        <x:v>cyrus-atabay-ffe098be3e</x:v>
      </x:c>
      <x:c r="B201" s="20" t="str">
        <x:v>Cyrus Atabay</x:v>
      </x:c>
      <x:c r="C201" s="20" t="str">
        <x:v>Umrisse eines Wir : sieben Stücke für Chor und Orchester ; mit Texten von Cyrus Atabay und George W. Bush ; (2004)</x:v>
      </x:c>
      <x:c r="D201" s="20" t="n">
        <x:v>1</x:v>
      </x:c>
      <x:c r="E201" s="36" t="str">
        <x:v>AUTO_EXCLUDE_NON_LITERARY</x:v>
      </x:c>
      <x:c r="F201" s="20" t="str">
        <x:v>German record(s), but no stated literary subject or genre signal.</x:v>
      </x:c>
      <x:c r="G201" s="20" t="str">
        <x:v>ger</x:v>
      </x:c>
      <x:c r="H201" s="20" t="n">
        <x:v>0</x:v>
      </x:c>
      <x:c r="I201" s="20" t="n">
        <x:v>1</x:v>
      </x:c>
      <x:c r="J201" s="20" t="n">
        <x:v>0</x:v>
      </x:c>
      <x:c r="K201" s="20" t="n">
        <x:v>0</x:v>
      </x:c>
      <x:c r="L201" s="20" t="str">
        <x:v>995803226</x:v>
      </x:c>
    </x:row>
    <x:row r="202" ht="44" customHeight="1">
      <x:c r="A202" s="20" t="str">
        <x:v>mehrnousch-zaeri-esfahan-83ae0b924f</x:v>
      </x:c>
      <x:c r="B202" s="20" t="str">
        <x:v>Mehrnousch Zaeri-Esfahani</x:v>
      </x:c>
      <x:c r="C202" s="20" t="str">
        <x:v>33 Bogen und ein Teehaus</x:v>
      </x:c>
      <x:c r="D202" s="20" t="n">
        <x:v>3</x:v>
      </x:c>
      <x:c r="E202" s="35" t="str">
        <x:v>CORE_FOR_WORK_CLUSTERING</x:v>
      </x:c>
      <x:c r="F202" s="20" t="str">
        <x:v>At least one German literary record without translation evidence.</x:v>
      </x:c>
      <x:c r="G202" s="20" t="str">
        <x:v>ger</x:v>
      </x:c>
      <x:c r="H202" s="20" t="n">
        <x:v>3</x:v>
      </x:c>
      <x:c r="I202" s="20" t="n">
        <x:v>3</x:v>
      </x:c>
      <x:c r="J202" s="20" t="n">
        <x:v>0</x:v>
      </x:c>
      <x:c r="K202" s="20" t="n">
        <x:v>3</x:v>
      </x:c>
      <x:c r="L202" s="20" t="str">
        <x:v>1156404932 | 1062501705 | 1082289566</x:v>
      </x:c>
    </x:row>
    <x:row r="203" ht="44" customHeight="1">
      <x:c r="A203" s="20" t="str">
        <x:v>mehrnousch-zaeri-esfahan-6dc4c8cf2c</x:v>
      </x:c>
      <x:c r="B203" s="20" t="str">
        <x:v>Mehrnousch Zaeri-Esfahani</x:v>
      </x:c>
      <x:c r="C203" s="20" t="str">
        <x:v>[33 Bogen und ein Teehaus] ; 33 qanṭara wa-šai ḫāna : riwāya</x:v>
      </x:c>
      <x:c r="D203" s="20" t="n">
        <x:v>1</x:v>
      </x:c>
      <x:c r="E203" s="36" t="str">
        <x:v>AUTO_EXCLUDE_NON_GERMAN</x:v>
      </x:c>
      <x:c r="F203" s="20" t="str">
        <x:v>All records are non-German publications.</x:v>
      </x:c>
      <x:c r="G203" s="20" t="str">
        <x:v>ara</x:v>
      </x:c>
      <x:c r="H203" s="20" t="n">
        <x:v>1</x:v>
      </x:c>
      <x:c r="I203" s="20" t="n">
        <x:v>0</x:v>
      </x:c>
      <x:c r="J203" s="20" t="n">
        <x:v>0</x:v>
      </x:c>
      <x:c r="K203" s="20" t="n">
        <x:v>0</x:v>
      </x:c>
      <x:c r="L203" s="20" t="str">
        <x:v>1231032715</x:v>
      </x:c>
    </x:row>
    <x:row r="204" ht="44" customHeight="1">
      <x:c r="A204" s="20" t="str">
        <x:v>mehrnousch-zaeri-esfahan-03bae56829</x:v>
      </x:c>
      <x:c r="B204" s="20" t="str">
        <x:v>Mehrnousch Zaeri-Esfahani</x:v>
      </x:c>
      <x:c r="C204" s="20" t="str">
        <x:v>[Wenn das so einfach wäre] ; Einfach Mensch</x:v>
      </x:c>
      <x:c r="D204" s="20" t="n">
        <x:v>1</x:v>
      </x:c>
      <x:c r="E204" s="35" t="str">
        <x:v>CORE_FOR_WORK_CLUSTERING</x:v>
      </x:c>
      <x:c r="F204" s="20" t="str">
        <x:v>At least one German literary record without translation evidence.</x:v>
      </x:c>
      <x:c r="G204" s="20" t="str">
        <x:v>ger</x:v>
      </x:c>
      <x:c r="H204" s="20" t="n">
        <x:v>1</x:v>
      </x:c>
      <x:c r="I204" s="20" t="n">
        <x:v>1</x:v>
      </x:c>
      <x:c r="J204" s="20" t="n">
        <x:v>0</x:v>
      </x:c>
      <x:c r="K204" s="20" t="n">
        <x:v>1</x:v>
      </x:c>
      <x:c r="L204" s="20" t="str">
        <x:v>1337915203</x:v>
      </x:c>
    </x:row>
    <x:row r="205" ht="44" customHeight="1">
      <x:c r="A205" s="20" t="str">
        <x:v>mehrnousch-zaeri-esfahan-a024b29e5c</x:v>
      </x:c>
      <x:c r="B205" s="20" t="str">
        <x:v>Mehrnousch Zaeri-Esfahani</x:v>
      </x:c>
      <x:c r="C205" s="20" t="str">
        <x:v>Das Mondmädchen</x:v>
      </x:c>
      <x:c r="D205" s="20" t="n">
        <x:v>2</x:v>
      </x:c>
      <x:c r="E205" s="35" t="str">
        <x:v>CORE_FOR_WORK_CLUSTERING</x:v>
      </x:c>
      <x:c r="F205" s="20" t="str">
        <x:v>At least one German literary record without translation evidence.</x:v>
      </x:c>
      <x:c r="G205" s="20" t="str">
        <x:v>ger</x:v>
      </x:c>
      <x:c r="H205" s="20" t="n">
        <x:v>2</x:v>
      </x:c>
      <x:c r="I205" s="20" t="n">
        <x:v>2</x:v>
      </x:c>
      <x:c r="J205" s="20" t="n">
        <x:v>0</x:v>
      </x:c>
      <x:c r="K205" s="20" t="n">
        <x:v>2</x:v>
      </x:c>
      <x:c r="L205" s="20" t="str">
        <x:v>1079809813 | 1077261551</x:v>
      </x:c>
    </x:row>
    <x:row r="206" ht="44" customHeight="1">
      <x:c r="A206" s="20" t="str">
        <x:v>mehrnousch-zaeri-esfahan-1e437aa548</x:v>
      </x:c>
      <x:c r="B206" s="20" t="str">
        <x:v>Mehrnousch Zaeri-Esfahani</x:v>
      </x:c>
      <x:c r="C206" s="20" t="str">
        <x:v>Ein Liekesch für Jascha</x:v>
      </x:c>
      <x:c r="D206" s="20" t="n">
        <x:v>1</x:v>
      </x:c>
      <x:c r="E206" s="35" t="str">
        <x:v>CORE_FOR_WORK_CLUSTERING</x:v>
      </x:c>
      <x:c r="F206" s="20" t="str">
        <x:v>At least one German literary record without translation evidence.</x:v>
      </x:c>
      <x:c r="G206" s="20" t="str">
        <x:v>ger</x:v>
      </x:c>
      <x:c r="H206" s="20" t="n">
        <x:v>1</x:v>
      </x:c>
      <x:c r="I206" s="20" t="n">
        <x:v>1</x:v>
      </x:c>
      <x:c r="J206" s="20" t="n">
        <x:v>0</x:v>
      </x:c>
      <x:c r="K206" s="20" t="n">
        <x:v>1</x:v>
      </x:c>
      <x:c r="L206" s="20" t="str">
        <x:v>1345703317</x:v>
      </x:c>
    </x:row>
    <x:row r="207" ht="44" customHeight="1">
      <x:c r="A207" s="20" t="str">
        <x:v>mehrnousch-zaeri-esfahan-469883c3f1</x:v>
      </x:c>
      <x:c r="B207" s="20" t="str">
        <x:v>Mehrnousch Zaeri-Esfahani</x:v>
      </x:c>
      <x:c r="C207" s="20" t="str">
        <x:v>Stadt erzählen - Stadt gestalten : Narrative Strategien und Methoden in der Stadtentwicklung</x:v>
      </x:c>
      <x:c r="D207" s="20" t="n">
        <x:v>1</x:v>
      </x:c>
      <x:c r="E207" s="36" t="str">
        <x:v>AUTO_EXCLUDE_NON_LITERARY</x:v>
      </x:c>
      <x:c r="F207" s="20" t="str">
        <x:v>German record(s), but no stated literary subject or genre signal.</x:v>
      </x:c>
      <x:c r="G207" s="20" t="str">
        <x:v>ger</x:v>
      </x:c>
      <x:c r="H207" s="20" t="n">
        <x:v>0</x:v>
      </x:c>
      <x:c r="I207" s="20" t="n">
        <x:v>1</x:v>
      </x:c>
      <x:c r="J207" s="20" t="n">
        <x:v>0</x:v>
      </x:c>
      <x:c r="K207" s="20" t="n">
        <x:v>0</x:v>
      </x:c>
      <x:c r="L207" s="20" t="str">
        <x:v>1358134790</x:v>
      </x:c>
    </x:row>
    <x:row r="208" ht="44" customHeight="1">
      <x:c r="A208" s="20" t="str">
        <x:v>mehrnousch-zaeri-esfahan-3359dab2ae</x:v>
      </x:c>
      <x:c r="B208" s="20" t="str">
        <x:v>Mehrnousch Zaeri-Esfahani</x:v>
      </x:c>
      <x:c r="C208" s="20" t="str">
        <x:v>Wenn das so einfach wäre = Kāš bih hamīn rāḥatī būd</x:v>
      </x:c>
      <x:c r="D208" s="20" t="n">
        <x:v>1</x:v>
      </x:c>
      <x:c r="E208" s="35" t="str">
        <x:v>CORE_FOR_WORK_CLUSTERING</x:v>
      </x:c>
      <x:c r="F208" s="20" t="str">
        <x:v>At least one German literary record without translation evidence.</x:v>
      </x:c>
      <x:c r="G208" s="20" t="str">
        <x:v>ger | per</x:v>
      </x:c>
      <x:c r="H208" s="20" t="n">
        <x:v>1</x:v>
      </x:c>
      <x:c r="I208" s="20" t="n">
        <x:v>1</x:v>
      </x:c>
      <x:c r="J208" s="20" t="n">
        <x:v>0</x:v>
      </x:c>
      <x:c r="K208" s="20" t="n">
        <x:v>1</x:v>
      </x:c>
      <x:c r="L208" s="20" t="str">
        <x:v>1189945584</x:v>
      </x:c>
    </x:row>
    <x:row r="209" ht="44" customHeight="1">
      <x:c r="A209" s="20" t="str">
        <x:v>mehrnousch-zaeri-esfahan-4d71bca831</x:v>
      </x:c>
      <x:c r="B209" s="20" t="str">
        <x:v>Mehrnousch Zaeri-Esfahani</x:v>
      </x:c>
      <x:c r="C209" s="20" t="str">
        <x:v>Wer tanzt schon gern allein? : Bilder, Geschichten und Gedichte zur Demokratie</x:v>
      </x:c>
      <x:c r="D209" s="20" t="n">
        <x:v>1</x:v>
      </x:c>
      <x:c r="E209" s="35" t="str">
        <x:v>CORE_FOR_WORK_CLUSTERING</x:v>
      </x:c>
      <x:c r="F209" s="20" t="str">
        <x:v>At least one German literary record without translation evidence.</x:v>
      </x:c>
      <x:c r="G209" s="20" t="str">
        <x:v>ger</x:v>
      </x:c>
      <x:c r="H209" s="20" t="n">
        <x:v>1</x:v>
      </x:c>
      <x:c r="I209" s="20" t="n">
        <x:v>1</x:v>
      </x:c>
      <x:c r="J209" s="20" t="n">
        <x:v>0</x:v>
      </x:c>
      <x:c r="K209" s="20" t="n">
        <x:v>1</x:v>
      </x:c>
      <x:c r="L209" s="20" t="str">
        <x:v>1199560677</x:v>
      </x:c>
    </x:row>
    <x:row r="210" ht="44" customHeight="1">
      <x:c r="A210" s="20" t="str">
        <x:v>fahimeh-farsaie-b3f299c4d3</x:v>
      </x:c>
      <x:c r="B210" s="20" t="str">
        <x:v>Fahimeh Farsaie</x:v>
      </x:c>
      <x:c r="C210" s="20" t="str">
        <x:v>[Farsāyī] ; Die gläserne Heimat : Erzählungen</x:v>
      </x:c>
      <x:c r="D210" s="20" t="n">
        <x:v>1</x:v>
      </x:c>
      <x:c r="E210" s="36" t="str">
        <x:v>AUTO_EXCLUDE_TRANSLATION</x:v>
      </x:c>
      <x:c r="F210" s="20" t="str">
        <x:v>German literary record(s) contain translator or non-German original-language evidence.</x:v>
      </x:c>
      <x:c r="G210" s="20" t="str">
        <x:v>ger</x:v>
      </x:c>
      <x:c r="H210" s="20" t="n">
        <x:v>1</x:v>
      </x:c>
      <x:c r="I210" s="20" t="n">
        <x:v>1</x:v>
      </x:c>
      <x:c r="J210" s="20" t="n">
        <x:v>1</x:v>
      </x:c>
      <x:c r="K210" s="20" t="n">
        <x:v>0</x:v>
      </x:c>
      <x:c r="L210" s="20" t="str">
        <x:v>1106898826</x:v>
      </x:c>
    </x:row>
    <x:row r="211" ht="44" customHeight="1">
      <x:c r="A211" s="20" t="str">
        <x:v>fahimeh-farsaie-d17ff2fb68</x:v>
      </x:c>
      <x:c r="B211" s="20" t="str">
        <x:v>Fahimeh Farsaie</x:v>
      </x:c>
      <x:c r="C211" s="20" t="str">
        <x:v>Die Flucht und andere Erzählungen</x:v>
      </x:c>
      <x:c r="D211" s="20" t="n">
        <x:v>1</x:v>
      </x:c>
      <x:c r="E211" s="36" t="str">
        <x:v>AUTO_EXCLUDE_TRANSLATION</x:v>
      </x:c>
      <x:c r="F211" s="20" t="str">
        <x:v>German literary record(s) contain translator or non-German original-language evidence.</x:v>
      </x:c>
      <x:c r="G211" s="20" t="str">
        <x:v>ger</x:v>
      </x:c>
      <x:c r="H211" s="20" t="n">
        <x:v>1</x:v>
      </x:c>
      <x:c r="I211" s="20" t="n">
        <x:v>1</x:v>
      </x:c>
      <x:c r="J211" s="20" t="n">
        <x:v>1</x:v>
      </x:c>
      <x:c r="K211" s="20" t="n">
        <x:v>0</x:v>
      </x:c>
      <x:c r="L211" s="20" t="str">
        <x:v>930864816</x:v>
      </x:c>
    </x:row>
    <x:row r="212" ht="44" customHeight="1">
      <x:c r="A212" s="20" t="str">
        <x:v>fahimeh-farsaie-365a214370</x:v>
      </x:c>
      <x:c r="B212" s="20" t="str">
        <x:v>Fahimeh Farsaie</x:v>
      </x:c>
      <x:c r="C212" s="20" t="str">
        <x:v>Die gläserne Heimat</x:v>
      </x:c>
      <x:c r="D212" s="20" t="n">
        <x:v>1</x:v>
      </x:c>
      <x:c r="E212" s="36" t="str">
        <x:v>AUTO_EXCLUDE_TRANSLATION</x:v>
      </x:c>
      <x:c r="F212" s="20" t="str">
        <x:v>German literary record(s) contain translator or non-German original-language evidence.</x:v>
      </x:c>
      <x:c r="G212" s="20" t="str">
        <x:v>ger</x:v>
      </x:c>
      <x:c r="H212" s="20" t="n">
        <x:v>1</x:v>
      </x:c>
      <x:c r="I212" s="20" t="n">
        <x:v>1</x:v>
      </x:c>
      <x:c r="J212" s="20" t="n">
        <x:v>1</x:v>
      </x:c>
      <x:c r="K212" s="20" t="n">
        <x:v>0</x:v>
      </x:c>
      <x:c r="L212" s="20" t="str">
        <x:v>1071369814</x:v>
      </x:c>
    </x:row>
    <x:row r="213" ht="44" customHeight="1">
      <x:c r="A213" s="20" t="str">
        <x:v>fahimeh-farsaie-4a5877d497</x:v>
      </x:c>
      <x:c r="B213" s="20" t="str">
        <x:v>Fahimeh Farsaie</x:v>
      </x:c>
      <x:c r="C213" s="20" t="str">
        <x:v>Die gläserne Heimat : Erzählungen</x:v>
      </x:c>
      <x:c r="D213" s="20" t="n">
        <x:v>1</x:v>
      </x:c>
      <x:c r="E213" s="36" t="str">
        <x:v>AUTO_EXCLUDE_TRANSLATION</x:v>
      </x:c>
      <x:c r="F213" s="20" t="str">
        <x:v>German literary record(s) contain translator or non-German original-language evidence.</x:v>
      </x:c>
      <x:c r="G213" s="20" t="str">
        <x:v>ger</x:v>
      </x:c>
      <x:c r="H213" s="20" t="n">
        <x:v>1</x:v>
      </x:c>
      <x:c r="I213" s="20" t="n">
        <x:v>1</x:v>
      </x:c>
      <x:c r="J213" s="20" t="n">
        <x:v>1</x:v>
      </x:c>
      <x:c r="K213" s="20" t="n">
        <x:v>0</x:v>
      </x:c>
      <x:c r="L213" s="20" t="str">
        <x:v>890988854</x:v>
      </x:c>
    </x:row>
    <x:row r="214" ht="44" customHeight="1">
      <x:c r="A214" s="20" t="str">
        <x:v>fahimeh-farsaie-613936e994</x:v>
      </x:c>
      <x:c r="B214" s="20" t="str">
        <x:v>Fahimeh Farsaie</x:v>
      </x:c>
      <x:c r="C214" s="20" t="str">
        <x:v>Eines Dienstags beschloss meine Mutter Deutsche zu werden</x:v>
      </x:c>
      <x:c r="D214" s="20" t="n">
        <x:v>1</x:v>
      </x:c>
      <x:c r="E214" s="35" t="str">
        <x:v>CORE_FOR_WORK_CLUSTERING</x:v>
      </x:c>
      <x:c r="F214" s="20" t="str">
        <x:v>At least one German literary record without translation evidence.</x:v>
      </x:c>
      <x:c r="G214" s="20" t="str">
        <x:v>ger</x:v>
      </x:c>
      <x:c r="H214" s="20" t="n">
        <x:v>1</x:v>
      </x:c>
      <x:c r="I214" s="20" t="n">
        <x:v>1</x:v>
      </x:c>
      <x:c r="J214" s="20" t="n">
        <x:v>0</x:v>
      </x:c>
      <x:c r="K214" s="20" t="n">
        <x:v>1</x:v>
      </x:c>
      <x:c r="L214" s="20" t="str">
        <x:v>1060478412</x:v>
      </x:c>
    </x:row>
    <x:row r="215" ht="44" customHeight="1">
      <x:c r="A215" s="20" t="str">
        <x:v>fahimeh-farsaie-3cedcc759b</x:v>
      </x:c>
      <x:c r="B215" s="20" t="str">
        <x:v>Fahimeh Farsaie</x:v>
      </x:c>
      <x:c r="C215" s="20" t="str">
        <x:v>Eines Dienstags beschloss meine Mutter Deutsche zu werden : Roman</x:v>
      </x:c>
      <x:c r="D215" s="20" t="n">
        <x:v>2</x:v>
      </x:c>
      <x:c r="E215" s="35" t="str">
        <x:v>CORE_FOR_WORK_CLUSTERING</x:v>
      </x:c>
      <x:c r="F215" s="20" t="str">
        <x:v>At least one German literary record without translation evidence.</x:v>
      </x:c>
      <x:c r="G215" s="20" t="str">
        <x:v>ger</x:v>
      </x:c>
      <x:c r="H215" s="20" t="n">
        <x:v>2</x:v>
      </x:c>
      <x:c r="I215" s="20" t="n">
        <x:v>2</x:v>
      </x:c>
      <x:c r="J215" s="20" t="n">
        <x:v>0</x:v>
      </x:c>
      <x:c r="K215" s="20" t="n">
        <x:v>2</x:v>
      </x:c>
      <x:c r="L215" s="20" t="str">
        <x:v>1106898818 | 977584119</x:v>
      </x:c>
    </x:row>
    <x:row r="216" ht="44" customHeight="1">
      <x:c r="A216" s="20" t="str">
        <x:v>fahimeh-farsaie-398e9f20ea</x:v>
      </x:c>
      <x:c r="B216" s="20" t="str">
        <x:v>Fahimeh Farsaie</x:v>
      </x:c>
      <x:c r="C216" s="20" t="str">
        <x:v>Hüte dich vor den Männern mein Sohn</x:v>
      </x:c>
      <x:c r="D216" s="20" t="n">
        <x:v>1</x:v>
      </x:c>
      <x:c r="E216" s="36" t="str">
        <x:v>AUTO_EXCLUDE_TRANSLATION</x:v>
      </x:c>
      <x:c r="F216" s="20" t="str">
        <x:v>German literary record(s) contain translator or non-German original-language evidence.</x:v>
      </x:c>
      <x:c r="G216" s="20" t="str">
        <x:v>ger</x:v>
      </x:c>
      <x:c r="H216" s="20" t="n">
        <x:v>1</x:v>
      </x:c>
      <x:c r="I216" s="20" t="n">
        <x:v>1</x:v>
      </x:c>
      <x:c r="J216" s="20" t="n">
        <x:v>1</x:v>
      </x:c>
      <x:c r="K216" s="20" t="n">
        <x:v>0</x:v>
      </x:c>
      <x:c r="L216" s="20" t="str">
        <x:v>953578755</x:v>
      </x:c>
    </x:row>
    <x:row r="217" ht="44" customHeight="1">
      <x:c r="A217" s="20" t="str">
        <x:v>fahimeh-farsaie-bd365ba407</x:v>
      </x:c>
      <x:c r="B217" s="20" t="str">
        <x:v>Fahimeh Farsaie</x:v>
      </x:c>
      <x:c r="C217" s="20" t="str">
        <x:v>Hüte dich vor den Männern mein Sohn : Roman</x:v>
      </x:c>
      <x:c r="D217" s="20" t="n">
        <x:v>1</x:v>
      </x:c>
      <x:c r="E217" s="36" t="str">
        <x:v>AUTO_EXCLUDE_TRANSLATION</x:v>
      </x:c>
      <x:c r="F217" s="20" t="str">
        <x:v>German literary record(s) contain translator or non-German original-language evidence.</x:v>
      </x:c>
      <x:c r="G217" s="20" t="str">
        <x:v>ger</x:v>
      </x:c>
      <x:c r="H217" s="20" t="n">
        <x:v>1</x:v>
      </x:c>
      <x:c r="I217" s="20" t="n">
        <x:v>1</x:v>
      </x:c>
      <x:c r="J217" s="20" t="n">
        <x:v>1</x:v>
      </x:c>
      <x:c r="K217" s="20" t="n">
        <x:v>0</x:v>
      </x:c>
      <x:c r="L217" s="20" t="str">
        <x:v>117271651X</x:v>
      </x:c>
    </x:row>
    <x:row r="218" ht="44" customHeight="1">
      <x:c r="A218" s="20" t="str">
        <x:v>fahimeh-farsaie-7d35d376d0</x:v>
      </x:c>
      <x:c r="B218" s="20" t="str">
        <x:v>Fahimeh Farsaie</x:v>
      </x:c>
      <x:c r="C218" s="20" t="str">
        <x:v>Nassrins öst-westliche Nacht</x:v>
      </x:c>
      <x:c r="D218" s="20" t="n">
        <x:v>1</x:v>
      </x:c>
      <x:c r="E218" s="35" t="str">
        <x:v>CORE_FOR_WORK_CLUSTERING</x:v>
      </x:c>
      <x:c r="F218" s="20" t="str">
        <x:v>At least one German literary record without translation evidence.</x:v>
      </x:c>
      <x:c r="G218" s="20" t="str">
        <x:v>ger</x:v>
      </x:c>
      <x:c r="H218" s="20" t="n">
        <x:v>1</x:v>
      </x:c>
      <x:c r="I218" s="20" t="n">
        <x:v>1</x:v>
      </x:c>
      <x:c r="J218" s="20" t="n">
        <x:v>0</x:v>
      </x:c>
      <x:c r="K218" s="20" t="n">
        <x:v>1</x:v>
      </x:c>
      <x:c r="L218" s="20" t="str">
        <x:v>1127004565</x:v>
      </x:c>
    </x:row>
    <x:row r="219" ht="44" customHeight="1">
      <x:c r="A219" s="20" t="str">
        <x:v>fahimeh-farsaie-bc90d86ccf</x:v>
      </x:c>
      <x:c r="B219" s="20" t="str">
        <x:v>Fahimeh Farsaie</x:v>
      </x:c>
      <x:c r="C219" s="20" t="str">
        <x:v>Vergiftete Zeit : der Fall des Dr. Danesch ; Roman</x:v>
      </x:c>
      <x:c r="D219" s="20" t="n">
        <x:v>1</x:v>
      </x:c>
      <x:c r="E219" s="36" t="str">
        <x:v>AUTO_EXCLUDE_TRANSLATION</x:v>
      </x:c>
      <x:c r="F219" s="20" t="str">
        <x:v>German literary record(s) contain translator or non-German original-language evidence.</x:v>
      </x:c>
      <x:c r="G219" s="20" t="str">
        <x:v>ger</x:v>
      </x:c>
      <x:c r="H219" s="20" t="n">
        <x:v>1</x:v>
      </x:c>
      <x:c r="I219" s="20" t="n">
        <x:v>1</x:v>
      </x:c>
      <x:c r="J219" s="20" t="n">
        <x:v>1</x:v>
      </x:c>
      <x:c r="K219" s="20" t="n">
        <x:v>0</x:v>
      </x:c>
      <x:c r="L219" s="20" t="str">
        <x:v>910175551</x:v>
      </x:c>
    </x:row>
    <x:row r="220" ht="44" customHeight="1">
      <x:c r="A220" s="20" t="str">
        <x:v>fahimeh-farsaie-0590becb78</x:v>
      </x:c>
      <x:c r="B220" s="20" t="str">
        <x:v>Fahimeh Farsaie</x:v>
      </x:c>
      <x:c r="C220" s="20" t="str">
        <x:v>Zamāna-i masmūm : (duḫtarān wa pidarān) = Vergiftete Zeit</x:v>
      </x:c>
      <x:c r="D220" s="20" t="n">
        <x:v>1</x:v>
      </x:c>
      <x:c r="E220" s="34" t="str">
        <x:v>MANUAL_EXCLUDE_TRANSLATION</x:v>
      </x:c>
      <x:c r="F220" s="20" t="str">
        <x:v>The taz review confirms that the work was written in Farsi; DNB records this separate 1992 IKW edition with a Persian parallel title.</x:v>
      </x:c>
      <x:c r="G220" s="20" t="str">
        <x:v>ger</x:v>
      </x:c>
      <x:c r="H220" s="20" t="n">
        <x:v>1</x:v>
      </x:c>
      <x:c r="I220" s="20" t="n">
        <x:v>1</x:v>
      </x:c>
      <x:c r="J220" s="20" t="n">
        <x:v>1</x:v>
      </x:c>
      <x:c r="K220" s="20" t="n">
        <x:v>0</x:v>
      </x:c>
      <x:c r="L220" s="20" t="str">
        <x:v>931058414</x:v>
      </x:c>
    </x:row>
    <x:row r="221" ht="44" customHeight="1">
      <x:c r="A221" s="20" t="str">
        <x:v>behzad-karim-khani-8e76d35d4a</x:v>
      </x:c>
      <x:c r="B221" s="20" t="str">
        <x:v>Behzad Karim Khani</x:v>
      </x:c>
      <x:c r="C221" s="20" t="str">
        <x:v>[Karim Khani] ; Als wir Schwäne waren : Roman</x:v>
      </x:c>
      <x:c r="D221" s="20" t="n">
        <x:v>2</x:v>
      </x:c>
      <x:c r="E221" s="35" t="str">
        <x:v>CORE_FOR_WORK_CLUSTERING</x:v>
      </x:c>
      <x:c r="F221" s="20" t="str">
        <x:v>At least one German literary record without translation evidence.</x:v>
      </x:c>
      <x:c r="G221" s="20" t="str">
        <x:v>ger</x:v>
      </x:c>
      <x:c r="H221" s="20" t="n">
        <x:v>2</x:v>
      </x:c>
      <x:c r="I221" s="20" t="n">
        <x:v>2</x:v>
      </x:c>
      <x:c r="J221" s="20" t="n">
        <x:v>0</x:v>
      </x:c>
      <x:c r="K221" s="20" t="n">
        <x:v>2</x:v>
      </x:c>
      <x:c r="L221" s="20" t="str">
        <x:v>1378668693 | 1323574328</x:v>
      </x:c>
    </x:row>
    <x:row r="222" ht="44" customHeight="1">
      <x:c r="A222" s="20" t="str">
        <x:v>behzad-karim-khani-303872bd50</x:v>
      </x:c>
      <x:c r="B222" s="20" t="str">
        <x:v>Behzad Karim Khani</x:v>
      </x:c>
      <x:c r="C222" s="20" t="str">
        <x:v>Als wir Schwäne waren : Roman</x:v>
      </x:c>
      <x:c r="D222" s="20" t="n">
        <x:v>1</x:v>
      </x:c>
      <x:c r="E222" s="35" t="str">
        <x:v>CORE_FOR_WORK_CLUSTERING</x:v>
      </x:c>
      <x:c r="F222" s="20" t="str">
        <x:v>At least one German literary record without translation evidence.</x:v>
      </x:c>
      <x:c r="G222" s="20" t="str">
        <x:v>ger</x:v>
      </x:c>
      <x:c r="H222" s="20" t="n">
        <x:v>1</x:v>
      </x:c>
      <x:c r="I222" s="20" t="n">
        <x:v>1</x:v>
      </x:c>
      <x:c r="J222" s="20" t="n">
        <x:v>0</x:v>
      </x:c>
      <x:c r="K222" s="20" t="n">
        <x:v>1</x:v>
      </x:c>
      <x:c r="L222" s="20" t="str">
        <x:v>1337076155</x:v>
      </x:c>
    </x:row>
    <x:row r="223" ht="44" customHeight="1">
      <x:c r="A223" s="20" t="str">
        <x:v>behzad-karim-khani-b0976966e6</x:v>
      </x:c>
      <x:c r="B223" s="20" t="str">
        <x:v>Behzad Karim Khani</x:v>
      </x:c>
      <x:c r="C223" s="20" t="str">
        <x:v>Hund, Wolf, Schakal : Roman</x:v>
      </x:c>
      <x:c r="D223" s="20" t="n">
        <x:v>3</x:v>
      </x:c>
      <x:c r="E223" s="35" t="str">
        <x:v>CORE_FOR_WORK_CLUSTERING</x:v>
      </x:c>
      <x:c r="F223" s="20" t="str">
        <x:v>At least one German literary record without translation evidence.</x:v>
      </x:c>
      <x:c r="G223" s="20" t="str">
        <x:v>ger</x:v>
      </x:c>
      <x:c r="H223" s="20" t="n">
        <x:v>3</x:v>
      </x:c>
      <x:c r="I223" s="20" t="n">
        <x:v>3</x:v>
      </x:c>
      <x:c r="J223" s="20" t="n">
        <x:v>0</x:v>
      </x:c>
      <x:c r="K223" s="20" t="n">
        <x:v>3</x:v>
      </x:c>
      <x:c r="L223" s="20" t="str">
        <x:v>1285998227 | 1263983855 | 1254070710</x:v>
      </x:c>
    </x:row>
    <x:row r="224" ht="44" customHeight="1">
      <x:c r="A224" s="20" t="str">
        <x:v>shirin-kumm-c8234979f5</x:v>
      </x:c>
      <x:c r="B224" s="20" t="str">
        <x:v>Shirin Kumm</x:v>
      </x:c>
      <x:c r="C224" s="20" t="str">
        <x:v>Der Blick hinab : Roman</x:v>
      </x:c>
      <x:c r="D224" s="20" t="n">
        <x:v>1</x:v>
      </x:c>
      <x:c r="E224" s="35" t="str">
        <x:v>CORE_FOR_WORK_CLUSTERING</x:v>
      </x:c>
      <x:c r="F224" s="20" t="str">
        <x:v>At least one German literary record without translation evidence.</x:v>
      </x:c>
      <x:c r="G224" s="20" t="str">
        <x:v>ger</x:v>
      </x:c>
      <x:c r="H224" s="20" t="n">
        <x:v>1</x:v>
      </x:c>
      <x:c r="I224" s="20" t="n">
        <x:v>1</x:v>
      </x:c>
      <x:c r="J224" s="20" t="n">
        <x:v>0</x:v>
      </x:c>
      <x:c r="K224" s="20" t="n">
        <x:v>1</x:v>
      </x:c>
      <x:c r="L224" s="20" t="str">
        <x:v>979826152</x:v>
      </x:c>
    </x:row>
    <x:row r="225" ht="44" customHeight="1">
      <x:c r="A225" s="20" t="str">
        <x:v>shirin-kumm-8814b74252</x:v>
      </x:c>
      <x:c r="B225" s="20" t="str">
        <x:v>Shirin Kumm</x:v>
      </x:c>
      <x:c r="C225" s="20" t="str">
        <x:v>Royadesara : eine Verwirrung ; Roman</x:v>
      </x:c>
      <x:c r="D225" s="20" t="n">
        <x:v>1</x:v>
      </x:c>
      <x:c r="E225" s="35" t="str">
        <x:v>CORE_FOR_WORK_CLUSTERING</x:v>
      </x:c>
      <x:c r="F225" s="20" t="str">
        <x:v>At least one German literary record without translation evidence.</x:v>
      </x:c>
      <x:c r="G225" s="20" t="str">
        <x:v>ger</x:v>
      </x:c>
      <x:c r="H225" s="20" t="n">
        <x:v>1</x:v>
      </x:c>
      <x:c r="I225" s="20" t="n">
        <x:v>1</x:v>
      </x:c>
      <x:c r="J225" s="20" t="n">
        <x:v>0</x:v>
      </x:c>
      <x:c r="K225" s="20" t="n">
        <x:v>1</x:v>
      </x:c>
      <x:c r="L225" s="20" t="str">
        <x:v>96576768X</x:v>
      </x:c>
    </x:row>
    <x:row r="226" ht="44" customHeight="1">
      <x:c r="A226" s="20" t="str">
        <x:v>noshin-shahrokhi-a29aa5dd6c</x:v>
      </x:c>
      <x:c r="B226" s="20" t="str">
        <x:v>Noshin Shahrokhi</x:v>
      </x:c>
      <x:c r="C226" s="20" t="str">
        <x:v>Unerfüllte Träume einer Iranerin : Roman</x:v>
      </x:c>
      <x:c r="D226" s="20" t="n">
        <x:v>1</x:v>
      </x:c>
      <x:c r="E226" s="35" t="str">
        <x:v>CORE_FOR_WORK_CLUSTERING</x:v>
      </x:c>
      <x:c r="F226" s="20" t="str">
        <x:v>At least one German literary record without translation evidence.</x:v>
      </x:c>
      <x:c r="G226" s="20" t="str">
        <x:v>ger</x:v>
      </x:c>
      <x:c r="H226" s="20" t="n">
        <x:v>1</x:v>
      </x:c>
      <x:c r="I226" s="20" t="n">
        <x:v>1</x:v>
      </x:c>
      <x:c r="J226" s="20" t="n">
        <x:v>0</x:v>
      </x:c>
      <x:c r="K226" s="20" t="n">
        <x:v>1</x:v>
      </x:c>
      <x:c r="L226" s="20" t="str">
        <x:v>987294431</x:v>
      </x:c>
    </x:row>
    <x:row r="227" ht="44" customHeight="1">
      <x:c r="A227" s="20" t="str">
        <x:v>shani-katayun-c7133d96c2</x:v>
      </x:c>
      <x:c r="B227" s="20" t="str">
        <x:v>Shani Katayun</x:v>
      </x:c>
      <x:c r="C227" s="20" t="str">
        <x:v>Augen in Teheran : drei Schwestern zwischen Iran und Deutschland ; Roman</x:v>
      </x:c>
      <x:c r="D227" s="20" t="n">
        <x:v>1</x:v>
      </x:c>
      <x:c r="E227" s="35" t="str">
        <x:v>CORE_FOR_WORK_CLUSTERING</x:v>
      </x:c>
      <x:c r="F227" s="20" t="str">
        <x:v>At least one German literary record without translation evidence.</x:v>
      </x:c>
      <x:c r="G227" s="20" t="str">
        <x:v>ger</x:v>
      </x:c>
      <x:c r="H227" s="20" t="n">
        <x:v>1</x:v>
      </x:c>
      <x:c r="I227" s="20" t="n">
        <x:v>1</x:v>
      </x:c>
      <x:c r="J227" s="20" t="n">
        <x:v>0</x:v>
      </x:c>
      <x:c r="K227" s="20" t="n">
        <x:v>1</x:v>
      </x:c>
      <x:c r="L227" s="20" t="str">
        <x:v>986883255</x:v>
      </x:c>
    </x:row>
    <x:row r="228" ht="44" customHeight="1">
      <x:c r="A228" s="20" t="str">
        <x:v>nasrin-siege-18857a3b01</x:v>
      </x:c>
      <x:c r="B228" s="20" t="str">
        <x:v>Nasrin Siege</x:v>
      </x:c>
      <x:c r="C228" s="20" t="str">
        <x:v>"Ich kehre zurück, Dadabé" : die Geschichte eines madagassischen Mädchens</x:v>
      </x:c>
      <x:c r="D228" s="20" t="n">
        <x:v>2</x:v>
      </x:c>
      <x:c r="E228" s="35" t="str">
        <x:v>CORE_FOR_WORK_CLUSTERING</x:v>
      </x:c>
      <x:c r="F228" s="20" t="str">
        <x:v>At least one German literary record without translation evidence.</x:v>
      </x:c>
      <x:c r="G228" s="20" t="str">
        <x:v>ger</x:v>
      </x:c>
      <x:c r="H228" s="20" t="n">
        <x:v>2</x:v>
      </x:c>
      <x:c r="I228" s="20" t="n">
        <x:v>2</x:v>
      </x:c>
      <x:c r="J228" s="20" t="n">
        <x:v>0</x:v>
      </x:c>
      <x:c r="K228" s="20" t="n">
        <x:v>2</x:v>
      </x:c>
      <x:c r="L228" s="20" t="str">
        <x:v>1176686070 | 101163466X</x:v>
      </x:c>
    </x:row>
    <x:row r="229" ht="44" customHeight="1">
      <x:c r="A229" s="20" t="str">
        <x:v>nasrin-siege-0a3af218c8</x:v>
      </x:c>
      <x:c r="B229" s="20" t="str">
        <x:v>Nasrin Siege</x:v>
      </x:c>
      <x:c r="C229" s="20" t="str">
        <x:v>Als die Elefanten kamen : Roman</x:v>
      </x:c>
      <x:c r="D229" s="20" t="n">
        <x:v>2</x:v>
      </x:c>
      <x:c r="E229" s="35" t="str">
        <x:v>CORE_FOR_WORK_CLUSTERING</x:v>
      </x:c>
      <x:c r="F229" s="20" t="str">
        <x:v>At least one German literary record without translation evidence.</x:v>
      </x:c>
      <x:c r="G229" s="20" t="str">
        <x:v>ger</x:v>
      </x:c>
      <x:c r="H229" s="20" t="n">
        <x:v>2</x:v>
      </x:c>
      <x:c r="I229" s="20" t="n">
        <x:v>1</x:v>
      </x:c>
      <x:c r="J229" s="20" t="n">
        <x:v>0</x:v>
      </x:c>
      <x:c r="K229" s="20" t="n">
        <x:v>1</x:v>
      </x:c>
      <x:c r="L229" s="20" t="str">
        <x:v>962830313 | 984054294</x:v>
      </x:c>
    </x:row>
    <x:row r="230" ht="44" customHeight="1">
      <x:c r="A230" s="20" t="str">
        <x:v>nasrin-siege-3ff33fe53d</x:v>
      </x:c>
      <x:c r="B230" s="20" t="str">
        <x:v>Nasrin Siege</x:v>
      </x:c>
      <x:c r="C230" s="20" t="str">
        <x:v>Asni</x:v>
      </x:c>
      <x:c r="D230" s="20" t="n">
        <x:v>2</x:v>
      </x:c>
      <x:c r="E230" s="35" t="str">
        <x:v>CORE_FOR_WORK_CLUSTERING</x:v>
      </x:c>
      <x:c r="F230" s="20" t="str">
        <x:v>At least one German literary record without translation evidence.</x:v>
      </x:c>
      <x:c r="G230" s="20" t="str">
        <x:v>ger</x:v>
      </x:c>
      <x:c r="H230" s="20" t="n">
        <x:v>2</x:v>
      </x:c>
      <x:c r="I230" s="20" t="n">
        <x:v>2</x:v>
      </x:c>
      <x:c r="J230" s="20" t="n">
        <x:v>0</x:v>
      </x:c>
      <x:c r="K230" s="20" t="n">
        <x:v>2</x:v>
      </x:c>
      <x:c r="L230" s="20" t="str">
        <x:v>1207465321 | 120043059X</x:v>
      </x:c>
    </x:row>
    <x:row r="231" ht="44" customHeight="1">
      <x:c r="A231" s="20" t="str">
        <x:v>nasrin-siege-bcb0dc4a87</x:v>
      </x:c>
      <x:c r="B231" s="20" t="str">
        <x:v>Nasrin Siege</x:v>
      </x:c>
      <x:c r="C231" s="20" t="str">
        <x:v>Der Honigvogel : Geschichten aus Afrika</x:v>
      </x:c>
      <x:c r="D231" s="20" t="n">
        <x:v>2</x:v>
      </x:c>
      <x:c r="E231" s="35" t="str">
        <x:v>CORE_FOR_WORK_CLUSTERING</x:v>
      </x:c>
      <x:c r="F231" s="20" t="str">
        <x:v>At least one German literary record without translation evidence.</x:v>
      </x:c>
      <x:c r="G231" s="20" t="str">
        <x:v>ger</x:v>
      </x:c>
      <x:c r="H231" s="20" t="n">
        <x:v>2</x:v>
      </x:c>
      <x:c r="I231" s="20" t="n">
        <x:v>2</x:v>
      </x:c>
      <x:c r="J231" s="20" t="n">
        <x:v>0</x:v>
      </x:c>
      <x:c r="K231" s="20" t="n">
        <x:v>2</x:v>
      </x:c>
      <x:c r="L231" s="20" t="str">
        <x:v>1363232169 | 1088786618</x:v>
      </x:c>
    </x:row>
    <x:row r="232" ht="44" customHeight="1">
      <x:c r="A232" s="20" t="str">
        <x:v>nasrin-siege-a001a39a79</x:v>
      </x:c>
      <x:c r="B232" s="20" t="str">
        <x:v>Nasrin Siege</x:v>
      </x:c>
      <x:c r="C232" s="20" t="str">
        <x:v>Der Tag des Regenbogens : Märchen, Mythen und Geschichten</x:v>
      </x:c>
      <x:c r="D232" s="20" t="n">
        <x:v>1</x:v>
      </x:c>
      <x:c r="E232" s="35" t="str">
        <x:v>CORE_FOR_WORK_CLUSTERING</x:v>
      </x:c>
      <x:c r="F232" s="20" t="str">
        <x:v>At least one German literary record without translation evidence.</x:v>
      </x:c>
      <x:c r="G232" s="20" t="str">
        <x:v>ger</x:v>
      </x:c>
      <x:c r="H232" s="20" t="n">
        <x:v>1</x:v>
      </x:c>
      <x:c r="I232" s="20" t="n">
        <x:v>1</x:v>
      </x:c>
      <x:c r="J232" s="20" t="n">
        <x:v>0</x:v>
      </x:c>
      <x:c r="K232" s="20" t="n">
        <x:v>1</x:v>
      </x:c>
      <x:c r="L232" s="20" t="str">
        <x:v>944114369</x:v>
      </x:c>
    </x:row>
    <x:row r="233" ht="44" customHeight="1">
      <x:c r="A233" s="20" t="str">
        <x:v>nasrin-siege-5a554dfc96</x:v>
      </x:c>
      <x:c r="B233" s="20" t="str">
        <x:v>Nasrin Siege</x:v>
      </x:c>
      <x:c r="C233" s="20" t="str">
        <x:v>Die Piraten von Libertalia</x:v>
      </x:c>
      <x:c r="D233" s="20" t="n">
        <x:v>2</x:v>
      </x:c>
      <x:c r="E233" s="35" t="str">
        <x:v>CORE_FOR_WORK_CLUSTERING</x:v>
      </x:c>
      <x:c r="F233" s="20" t="str">
        <x:v>At least one German literary record without translation evidence.</x:v>
      </x:c>
      <x:c r="G233" s="20" t="str">
        <x:v>ger</x:v>
      </x:c>
      <x:c r="H233" s="20" t="n">
        <x:v>2</x:v>
      </x:c>
      <x:c r="I233" s="20" t="n">
        <x:v>2</x:v>
      </x:c>
      <x:c r="J233" s="20" t="n">
        <x:v>0</x:v>
      </x:c>
      <x:c r="K233" s="20" t="n">
        <x:v>2</x:v>
      </x:c>
      <x:c r="L233" s="20" t="str">
        <x:v>1176982370 | 991317602</x:v>
      </x:c>
    </x:row>
    <x:row r="234" ht="44" customHeight="1">
      <x:c r="A234" s="20" t="str">
        <x:v>nasrin-siege-fb8f3d3988</x:v>
      </x:c>
      <x:c r="B234" s="20" t="str">
        <x:v>Nasrin Siege</x:v>
      </x:c>
      <x:c r="C234" s="20" t="str">
        <x:v>Die Piraten von Libertalia : Roman</x:v>
      </x:c>
      <x:c r="D234" s="20" t="n">
        <x:v>1</x:v>
      </x:c>
      <x:c r="E234" s="35" t="str">
        <x:v>CORE_FOR_WORK_CLUSTERING</x:v>
      </x:c>
      <x:c r="F234" s="20" t="str">
        <x:v>At least one German literary record without translation evidence.</x:v>
      </x:c>
      <x:c r="G234" s="20" t="str">
        <x:v>ger</x:v>
      </x:c>
      <x:c r="H234" s="20" t="n">
        <x:v>1</x:v>
      </x:c>
      <x:c r="I234" s="20" t="n">
        <x:v>1</x:v>
      </x:c>
      <x:c r="J234" s="20" t="n">
        <x:v>0</x:v>
      </x:c>
      <x:c r="K234" s="20" t="n">
        <x:v>1</x:v>
      </x:c>
      <x:c r="L234" s="20" t="str">
        <x:v>1252644671</x:v>
      </x:c>
    </x:row>
    <x:row r="235" ht="44" customHeight="1">
      <x:c r="A235" s="20" t="str">
        <x:v>nasrin-siege-495062d2bb</x:v>
      </x:c>
      <x:c r="B235" s="20" t="str">
        <x:v>Nasrin Siege</x:v>
      </x:c>
      <x:c r="C235" s="20" t="str">
        <x:v>Die Spur des Elefanten</x:v>
      </x:c>
      <x:c r="D235" s="20" t="n">
        <x:v>1</x:v>
      </x:c>
      <x:c r="E235" s="35" t="str">
        <x:v>CORE_FOR_WORK_CLUSTERING</x:v>
      </x:c>
      <x:c r="F235" s="20" t="str">
        <x:v>At least one German literary record without translation evidence.</x:v>
      </x:c>
      <x:c r="G235" s="20" t="str">
        <x:v>ger</x:v>
      </x:c>
      <x:c r="H235" s="20" t="n">
        <x:v>1</x:v>
      </x:c>
      <x:c r="I235" s="20" t="n">
        <x:v>1</x:v>
      </x:c>
      <x:c r="J235" s="20" t="n">
        <x:v>0</x:v>
      </x:c>
      <x:c r="K235" s="20" t="n">
        <x:v>1</x:v>
      </x:c>
      <x:c r="L235" s="20" t="str">
        <x:v>104524063X</x:v>
      </x:c>
    </x:row>
    <x:row r="236" ht="44" customHeight="1">
      <x:c r="A236" s="20" t="str">
        <x:v>nasrin-siege-9f98251868</x:v>
      </x:c>
      <x:c r="B236" s="20" t="str">
        <x:v>Nasrin Siege</x:v>
      </x:c>
      <x:c r="C236" s="20" t="str">
        <x:v>Hiverina aho, Dadabe! : ilay tantara momba an'i Todisoa</x:v>
      </x:c>
      <x:c r="D236" s="20" t="n">
        <x:v>1</x:v>
      </x:c>
      <x:c r="E236" s="36" t="str">
        <x:v>AUTO_EXCLUDE_NON_GERMAN</x:v>
      </x:c>
      <x:c r="F236" s="20" t="str">
        <x:v>All records are non-German publications.</x:v>
      </x:c>
      <x:c r="G236" s="20" t="str">
        <x:v>mlg</x:v>
      </x:c>
      <x:c r="H236" s="20" t="n">
        <x:v>1</x:v>
      </x:c>
      <x:c r="I236" s="20" t="n">
        <x:v>0</x:v>
      </x:c>
      <x:c r="J236" s="20" t="n">
        <x:v>0</x:v>
      </x:c>
      <x:c r="K236" s="20" t="n">
        <x:v>0</x:v>
      </x:c>
      <x:c r="L236" s="20" t="str">
        <x:v>1032928360</x:v>
      </x:c>
    </x:row>
    <x:row r="237" ht="44" customHeight="1">
      <x:c r="A237" s="20" t="str">
        <x:v>nasrin-siege-3c309e32a4</x:v>
      </x:c>
      <x:c r="B237" s="20" t="str">
        <x:v>Nasrin Siege</x:v>
      </x:c>
      <x:c r="C237" s="20" t="str">
        <x:v>Hyänen im hohen Gras : Spuren in der Serengeti ; Erzählung</x:v>
      </x:c>
      <x:c r="D237" s="20" t="n">
        <x:v>1</x:v>
      </x:c>
      <x:c r="E237" s="35" t="str">
        <x:v>CORE_FOR_WORK_CLUSTERING</x:v>
      </x:c>
      <x:c r="F237" s="20" t="str">
        <x:v>At least one German literary record without translation evidence.</x:v>
      </x:c>
      <x:c r="G237" s="20" t="str">
        <x:v>ger</x:v>
      </x:c>
      <x:c r="H237" s="20" t="n">
        <x:v>1</x:v>
      </x:c>
      <x:c r="I237" s="20" t="n">
        <x:v>1</x:v>
      </x:c>
      <x:c r="J237" s="20" t="n">
        <x:v>0</x:v>
      </x:c>
      <x:c r="K237" s="20" t="n">
        <x:v>1</x:v>
      </x:c>
      <x:c r="L237" s="20" t="str">
        <x:v>971458839</x:v>
      </x:c>
    </x:row>
    <x:row r="238" ht="44" customHeight="1">
      <x:c r="A238" s="20" t="str">
        <x:v>nasrin-siege-ca3988a5e4</x:v>
      </x:c>
      <x:c r="B238" s="20" t="str">
        <x:v>Nasrin Siege</x:v>
      </x:c>
      <x:c r="C238" s="20" t="str">
        <x:v>Juma : Ein Straßenkind aus Tansania</x:v>
      </x:c>
      <x:c r="D238" s="20" t="n">
        <x:v>1</x:v>
      </x:c>
      <x:c r="E238" s="35" t="str">
        <x:v>CORE_FOR_WORK_CLUSTERING</x:v>
      </x:c>
      <x:c r="F238" s="20" t="str">
        <x:v>At least one German literary record without translation evidence.</x:v>
      </x:c>
      <x:c r="G238" s="20" t="str">
        <x:v>ger</x:v>
      </x:c>
      <x:c r="H238" s="20" t="n">
        <x:v>1</x:v>
      </x:c>
      <x:c r="I238" s="20" t="n">
        <x:v>1</x:v>
      </x:c>
      <x:c r="J238" s="20" t="n">
        <x:v>0</x:v>
      </x:c>
      <x:c r="K238" s="20" t="n">
        <x:v>1</x:v>
      </x:c>
      <x:c r="L238" s="20" t="str">
        <x:v>1070905445</x:v>
      </x:c>
    </x:row>
    <x:row r="239" ht="44" customHeight="1">
      <x:c r="A239" s="20" t="str">
        <x:v>nasrin-siege-35d70d1e76</x:v>
      </x:c>
      <x:c r="B239" s="20" t="str">
        <x:v>Nasrin Siege</x:v>
      </x:c>
      <x:c r="C239" s="20" t="str">
        <x:v>Juma : ein Straßenkind aus Tansania : Roman</x:v>
      </x:c>
      <x:c r="D239" s="20" t="n">
        <x:v>2</x:v>
      </x:c>
      <x:c r="E239" s="35" t="str">
        <x:v>CORE_FOR_WORK_CLUSTERING</x:v>
      </x:c>
      <x:c r="F239" s="20" t="str">
        <x:v>At least one German literary record without translation evidence.</x:v>
      </x:c>
      <x:c r="G239" s="20" t="str">
        <x:v>ger</x:v>
      </x:c>
      <x:c r="H239" s="20" t="n">
        <x:v>2</x:v>
      </x:c>
      <x:c r="I239" s="20" t="n">
        <x:v>1</x:v>
      </x:c>
      <x:c r="J239" s="20" t="n">
        <x:v>0</x:v>
      </x:c>
      <x:c r="K239" s="20" t="n">
        <x:v>1</x:v>
      </x:c>
      <x:c r="L239" s="20" t="str">
        <x:v>1367659213 | 954058186</x:v>
      </x:c>
    </x:row>
    <x:row r="240" ht="44" customHeight="1">
      <x:c r="A240" s="20" t="str">
        <x:v>nasrin-siege-ad0a53168c</x:v>
      </x:c>
      <x:c r="B240" s="20" t="str">
        <x:v>Nasrin Siege</x:v>
      </x:c>
      <x:c r="C240" s="20" t="str">
        <x:v>Mama Baobab</x:v>
      </x:c>
      <x:c r="D240" s="20" t="n">
        <x:v>1</x:v>
      </x:c>
      <x:c r="E240" s="35" t="str">
        <x:v>CORE_FOR_WORK_CLUSTERING</x:v>
      </x:c>
      <x:c r="F240" s="20" t="str">
        <x:v>At least one German literary record without translation evidence.</x:v>
      </x:c>
      <x:c r="G240" s="20" t="str">
        <x:v>ger</x:v>
      </x:c>
      <x:c r="H240" s="20" t="n">
        <x:v>1</x:v>
      </x:c>
      <x:c r="I240" s="20" t="n">
        <x:v>1</x:v>
      </x:c>
      <x:c r="J240" s="20" t="n">
        <x:v>0</x:v>
      </x:c>
      <x:c r="K240" s="20" t="n">
        <x:v>1</x:v>
      </x:c>
      <x:c r="L240" s="20" t="str">
        <x:v>1275515347</x:v>
      </x:c>
    </x:row>
    <x:row r="241" ht="44" customHeight="1">
      <x:c r="A241" s="20" t="str">
        <x:v>nasrin-siege-2253f75924</x:v>
      </x:c>
      <x:c r="B241" s="20" t="str">
        <x:v>Nasrin Siege</x:v>
      </x:c>
      <x:c r="C241" s="20" t="str">
        <x:v>Mama Weihnacht</x:v>
      </x:c>
      <x:c r="D241" s="20" t="n">
        <x:v>1</x:v>
      </x:c>
      <x:c r="E241" s="35" t="str">
        <x:v>CORE_FOR_WORK_CLUSTERING</x:v>
      </x:c>
      <x:c r="F241" s="20" t="str">
        <x:v>At least one German literary record without translation evidence.</x:v>
      </x:c>
      <x:c r="G241" s="20" t="str">
        <x:v>ger</x:v>
      </x:c>
      <x:c r="H241" s="20" t="n">
        <x:v>1</x:v>
      </x:c>
      <x:c r="I241" s="20" t="n">
        <x:v>1</x:v>
      </x:c>
      <x:c r="J241" s="20" t="n">
        <x:v>0</x:v>
      </x:c>
      <x:c r="K241" s="20" t="n">
        <x:v>1</x:v>
      </x:c>
      <x:c r="L241" s="20" t="str">
        <x:v>1273623010</x:v>
      </x:c>
    </x:row>
    <x:row r="242" ht="44" customHeight="1">
      <x:c r="A242" s="20" t="str">
        <x:v>nasrin-siege-9d8d2df253</x:v>
      </x:c>
      <x:c r="B242" s="20" t="str">
        <x:v>Nasrin Siege</x:v>
      </x:c>
      <x:c r="C242" s="20" t="str">
        <x:v>Mandeln und Rosinen</x:v>
      </x:c>
      <x:c r="D242" s="20" t="n">
        <x:v>1</x:v>
      </x:c>
      <x:c r="E242" s="35" t="str">
        <x:v>CORE_FOR_WORK_CLUSTERING</x:v>
      </x:c>
      <x:c r="F242" s="20" t="str">
        <x:v>At least one German literary record without translation evidence.</x:v>
      </x:c>
      <x:c r="G242" s="20" t="str">
        <x:v>ger</x:v>
      </x:c>
      <x:c r="H242" s="20" t="n">
        <x:v>1</x:v>
      </x:c>
      <x:c r="I242" s="20" t="n">
        <x:v>1</x:v>
      </x:c>
      <x:c r="J242" s="20" t="n">
        <x:v>0</x:v>
      </x:c>
      <x:c r="K242" s="20" t="n">
        <x:v>1</x:v>
      </x:c>
      <x:c r="L242" s="20" t="str">
        <x:v>1264237421</x:v>
      </x:c>
    </x:row>
    <x:row r="243" ht="44" customHeight="1">
      <x:c r="A243" s="20" t="str">
        <x:v>nasrin-siege-2e76aa6844</x:v>
      </x:c>
      <x:c r="B243" s="20" t="str">
        <x:v>Nasrin Siege</x:v>
      </x:c>
      <x:c r="C243" s="20" t="str">
        <x:v>Morgen kommt die Hyäne zum Essen : afrikanische Tiergeschichten</x:v>
      </x:c>
      <x:c r="D243" s="20" t="n">
        <x:v>1</x:v>
      </x:c>
      <x:c r="E243" s="35" t="str">
        <x:v>CORE_FOR_WORK_CLUSTERING</x:v>
      </x:c>
      <x:c r="F243" s="20" t="str">
        <x:v>At least one German literary record without translation evidence.</x:v>
      </x:c>
      <x:c r="G243" s="20" t="str">
        <x:v>ger</x:v>
      </x:c>
      <x:c r="H243" s="20" t="n">
        <x:v>1</x:v>
      </x:c>
      <x:c r="I243" s="20" t="n">
        <x:v>1</x:v>
      </x:c>
      <x:c r="J243" s="20" t="n">
        <x:v>0</x:v>
      </x:c>
      <x:c r="K243" s="20" t="n">
        <x:v>1</x:v>
      </x:c>
      <x:c r="L243" s="20" t="str">
        <x:v>1170255833</x:v>
      </x:c>
    </x:row>
    <x:row r="244" ht="44" customHeight="1">
      <x:c r="A244" s="20" t="str">
        <x:v>nasrin-siege-2d75d2a687</x:v>
      </x:c>
      <x:c r="B244" s="20" t="str">
        <x:v>Nasrin Siege</x:v>
      </x:c>
      <x:c r="C244" s="20" t="str">
        <x:v>Shirin : Roman</x:v>
      </x:c>
      <x:c r="D244" s="20" t="n">
        <x:v>3</x:v>
      </x:c>
      <x:c r="E244" s="35" t="str">
        <x:v>CORE_FOR_WORK_CLUSTERING</x:v>
      </x:c>
      <x:c r="F244" s="20" t="str">
        <x:v>At least one German literary record without translation evidence.</x:v>
      </x:c>
      <x:c r="G244" s="20" t="str">
        <x:v>ger</x:v>
      </x:c>
      <x:c r="H244" s="20" t="n">
        <x:v>3</x:v>
      </x:c>
      <x:c r="I244" s="20" t="n">
        <x:v>1</x:v>
      </x:c>
      <x:c r="J244" s="20" t="n">
        <x:v>0</x:v>
      </x:c>
      <x:c r="K244" s="20" t="n">
        <x:v>1</x:v>
      </x:c>
      <x:c r="L244" s="20" t="str">
        <x:v>947000291 | 971333009 | 953870758</x:v>
      </x:c>
    </x:row>
    <x:row r="245" ht="44" customHeight="1">
      <x:c r="A245" s="20" t="str">
        <x:v>nasrin-siege-66f7e2c38f</x:v>
      </x:c>
      <x:c r="B245" s="20" t="str">
        <x:v>Nasrin Siege</x:v>
      </x:c>
      <x:c r="C245" s="20" t="str">
        <x:v>Shirin : wo gehöre ich hin?</x:v>
      </x:c>
      <x:c r="D245" s="20" t="n">
        <x:v>1</x:v>
      </x:c>
      <x:c r="E245" s="35" t="str">
        <x:v>CORE_FOR_WORK_CLUSTERING</x:v>
      </x:c>
      <x:c r="F245" s="20" t="str">
        <x:v>At least one German literary record without translation evidence.</x:v>
      </x:c>
      <x:c r="G245" s="20" t="str">
        <x:v>ger</x:v>
      </x:c>
      <x:c r="H245" s="20" t="n">
        <x:v>1</x:v>
      </x:c>
      <x:c r="I245" s="20" t="n">
        <x:v>1</x:v>
      </x:c>
      <x:c r="J245" s="20" t="n">
        <x:v>0</x:v>
      </x:c>
      <x:c r="K245" s="20" t="n">
        <x:v>1</x:v>
      </x:c>
      <x:c r="L245" s="20" t="str">
        <x:v>1058339354</x:v>
      </x:c>
    </x:row>
    <x:row r="246" ht="44" customHeight="1">
      <x:c r="A246" s="20" t="str">
        <x:v>nasrin-siege-8cf38a54c4</x:v>
      </x:c>
      <x:c r="B246" s="20" t="str">
        <x:v>Nasrin Siege</x:v>
      </x:c>
      <x:c r="C246" s="20" t="str">
        <x:v>Sombo woont in Zambia</x:v>
      </x:c>
      <x:c r="D246" s="20" t="n">
        <x:v>1</x:v>
      </x:c>
      <x:c r="E246" s="36" t="str">
        <x:v>AUTO_EXCLUDE_NON_GERMAN</x:v>
      </x:c>
      <x:c r="F246" s="20" t="str">
        <x:v>All records are non-German publications.</x:v>
      </x:c>
      <x:c r="G246" s="20" t="str">
        <x:v>dut</x:v>
      </x:c>
      <x:c r="H246" s="20" t="n">
        <x:v>1</x:v>
      </x:c>
      <x:c r="I246" s="20" t="n">
        <x:v>0</x:v>
      </x:c>
      <x:c r="J246" s="20" t="n">
        <x:v>0</x:v>
      </x:c>
      <x:c r="K246" s="20" t="n">
        <x:v>0</x:v>
      </x:c>
      <x:c r="L246" s="20" t="str">
        <x:v>940422824</x:v>
      </x:c>
    </x:row>
    <x:row r="247" ht="44" customHeight="1">
      <x:c r="A247" s="20" t="str">
        <x:v>nasrin-siege-8bfc6f903e</x:v>
      </x:c>
      <x:c r="B247" s="20" t="str">
        <x:v>Nasrin Siege</x:v>
      </x:c>
      <x:c r="C247" s="20" t="str">
        <x:v>Sombo, das Mädchen vom Fluss</x:v>
      </x:c>
      <x:c r="D247" s="20" t="n">
        <x:v>1</x:v>
      </x:c>
      <x:c r="E247" s="35" t="str">
        <x:v>CORE_FOR_WORK_CLUSTERING</x:v>
      </x:c>
      <x:c r="F247" s="20" t="str">
        <x:v>At least one German literary record without translation evidence.</x:v>
      </x:c>
      <x:c r="G247" s="20" t="str">
        <x:v>ger</x:v>
      </x:c>
      <x:c r="H247" s="20" t="n">
        <x:v>1</x:v>
      </x:c>
      <x:c r="I247" s="20" t="n">
        <x:v>1</x:v>
      </x:c>
      <x:c r="J247" s="20" t="n">
        <x:v>0</x:v>
      </x:c>
      <x:c r="K247" s="20" t="n">
        <x:v>1</x:v>
      </x:c>
      <x:c r="L247" s="20" t="str">
        <x:v>1388067358</x:v>
      </x:c>
    </x:row>
    <x:row r="248" ht="44" customHeight="1">
      <x:c r="A248" s="20" t="str">
        <x:v>nasrin-siege-15efbe548b</x:v>
      </x:c>
      <x:c r="B248" s="20" t="str">
        <x:v>Nasrin Siege</x:v>
      </x:c>
      <x:c r="C248" s="20" t="str">
        <x:v>Sombo, das Mädchen vom Fluss : Erzählung</x:v>
      </x:c>
      <x:c r="D248" s="20" t="n">
        <x:v>8</x:v>
      </x:c>
      <x:c r="E248" s="35" t="str">
        <x:v>CORE_FOR_WORK_CLUSTERING</x:v>
      </x:c>
      <x:c r="F248" s="20" t="str">
        <x:v>At least one German literary record without translation evidence.</x:v>
      </x:c>
      <x:c r="G248" s="20" t="str">
        <x:v>ger</x:v>
      </x:c>
      <x:c r="H248" s="20" t="n">
        <x:v>8</x:v>
      </x:c>
      <x:c r="I248" s="20" t="n">
        <x:v>8</x:v>
      </x:c>
      <x:c r="J248" s="20" t="n">
        <x:v>0</x:v>
      </x:c>
      <x:c r="K248" s="20" t="n">
        <x:v>8</x:v>
      </x:c>
      <x:c r="L248" s="20" t="str">
        <x:v>1036449033 | 964184583 | 953830616 | 944785905 | 940332094 | 942082494 | 910910383 | 901321850</x:v>
      </x:c>
    </x:row>
    <x:row r="249" ht="44" customHeight="1">
      <x:c r="A249" s="20" t="str">
        <x:v>nasrin-siege-90d86e5074</x:v>
      </x:c>
      <x:c r="B249" s="20" t="str">
        <x:v>Nasrin Siege</x:v>
      </x:c>
      <x:c r="C249" s="20" t="str">
        <x:v>Vor mir die Reise : ein Leben zwischen Iran, Afrika und Deutschland</x:v>
      </x:c>
      <x:c r="D249" s="20" t="n">
        <x:v>1</x:v>
      </x:c>
      <x:c r="E249" s="36" t="str">
        <x:v>AUTO_EXCLUDE_NON_LITERARY</x:v>
      </x:c>
      <x:c r="F249" s="20" t="str">
        <x:v>German record(s), but no stated literary subject or genre signal.</x:v>
      </x:c>
      <x:c r="G249" s="20" t="str">
        <x:v>ger</x:v>
      </x:c>
      <x:c r="H249" s="20" t="n">
        <x:v>0</x:v>
      </x:c>
      <x:c r="I249" s="20" t="n">
        <x:v>1</x:v>
      </x:c>
      <x:c r="J249" s="20" t="n">
        <x:v>0</x:v>
      </x:c>
      <x:c r="K249" s="20" t="n">
        <x:v>0</x:v>
      </x:c>
      <x:c r="L249" s="20" t="str">
        <x:v>1364766965</x:v>
      </x:c>
    </x:row>
    <x:row r="250" ht="44" customHeight="1">
      <x:c r="A250" s="20" t="str">
        <x:v>nasrin-siege-59db0a94ad</x:v>
      </x:c>
      <x:c r="B250" s="20" t="str">
        <x:v>Nasrin Siege</x:v>
      </x:c>
      <x:c r="C250" s="20" t="str">
        <x:v>Wenn der Löwe brüllt</x:v>
      </x:c>
      <x:c r="D250" s="20" t="n">
        <x:v>1</x:v>
      </x:c>
      <x:c r="E250" s="35" t="str">
        <x:v>CORE_FOR_WORK_CLUSTERING</x:v>
      </x:c>
      <x:c r="F250" s="20" t="str">
        <x:v>At least one German literary record without translation evidence.</x:v>
      </x:c>
      <x:c r="G250" s="20" t="str">
        <x:v>ger</x:v>
      </x:c>
      <x:c r="H250" s="20" t="n">
        <x:v>1</x:v>
      </x:c>
      <x:c r="I250" s="20" t="n">
        <x:v>1</x:v>
      </x:c>
      <x:c r="J250" s="20" t="n">
        <x:v>0</x:v>
      </x:c>
      <x:c r="K250" s="20" t="n">
        <x:v>1</x:v>
      </x:c>
      <x:c r="L250" s="20" t="str">
        <x:v>1278511555</x:v>
      </x:c>
    </x:row>
    <x:row r="251" ht="44" customHeight="1">
      <x:c r="A251" s="20" t="str">
        <x:v>nasrin-siege-60405afad1</x:v>
      </x:c>
      <x:c r="B251" s="20" t="str">
        <x:v>Nasrin Siege</x:v>
      </x:c>
      <x:c r="C251" s="20" t="str">
        <x:v>Wie der Fluss in meinem Dorf</x:v>
      </x:c>
      <x:c r="D251" s="20" t="n">
        <x:v>2</x:v>
      </x:c>
      <x:c r="E251" s="35" t="str">
        <x:v>CORE_FOR_WORK_CLUSTERING</x:v>
      </x:c>
      <x:c r="F251" s="20" t="str">
        <x:v>At least one German literary record without translation evidence.</x:v>
      </x:c>
      <x:c r="G251" s="20" t="str">
        <x:v>ger</x:v>
      </x:c>
      <x:c r="H251" s="20" t="n">
        <x:v>2</x:v>
      </x:c>
      <x:c r="I251" s="20" t="n">
        <x:v>2</x:v>
      </x:c>
      <x:c r="J251" s="20" t="n">
        <x:v>0</x:v>
      </x:c>
      <x:c r="K251" s="20" t="n">
        <x:v>2</x:v>
      </x:c>
      <x:c r="L251" s="20" t="str">
        <x:v>1403693382 | 124642794X</x:v>
      </x:c>
    </x:row>
    <x:row r="252" ht="44" customHeight="1">
      <x:c r="A252" s="20" t="str">
        <x:v>nasrin-siege-a887aba7ba</x:v>
      </x:c>
      <x:c r="B252" s="20" t="str">
        <x:v>Nasrin Siege</x:v>
      </x:c>
      <x:c r="C252" s="20" t="str">
        <x:v>Wie der Fluss in meinem Dorf : Erzählung</x:v>
      </x:c>
      <x:c r="D252" s="20" t="n">
        <x:v>6</x:v>
      </x:c>
      <x:c r="E252" s="35" t="str">
        <x:v>CORE_FOR_WORK_CLUSTERING</x:v>
      </x:c>
      <x:c r="F252" s="20" t="str">
        <x:v>At least one German literary record without translation evidence.</x:v>
      </x:c>
      <x:c r="G252" s="20" t="str">
        <x:v>ger</x:v>
      </x:c>
      <x:c r="H252" s="20" t="n">
        <x:v>6</x:v>
      </x:c>
      <x:c r="I252" s="20" t="n">
        <x:v>6</x:v>
      </x:c>
      <x:c r="J252" s="20" t="n">
        <x:v>0</x:v>
      </x:c>
      <x:c r="K252" s="20" t="n">
        <x:v>6</x:v>
      </x:c>
      <x:c r="L252" s="20" t="str">
        <x:v>1236855612 | 1209962926 | 96367143X | 953896153 | 947646175 | 94066464X</x:v>
      </x:c>
    </x:row>
    <x:row r="253" ht="44" customHeight="1">
      <x:c r="A253" s="20" t="str">
        <x:v>nasrin-siege-996d3a4a28</x:v>
      </x:c>
      <x:c r="B253" s="20" t="str">
        <x:v>Nasrin Siege</x:v>
      </x:c>
      <x:c r="C253" s="20" t="str">
        <x:v>Wo ist Bubu?</x:v>
      </x:c>
      <x:c r="D253" s="20" t="n">
        <x:v>1</x:v>
      </x:c>
      <x:c r="E253" s="35" t="str">
        <x:v>CORE_FOR_WORK_CLUSTERING</x:v>
      </x:c>
      <x:c r="F253" s="20" t="str">
        <x:v>At least one German literary record without translation evidence.</x:v>
      </x:c>
      <x:c r="G253" s="20" t="str">
        <x:v>ger</x:v>
      </x:c>
      <x:c r="H253" s="20" t="n">
        <x:v>1</x:v>
      </x:c>
      <x:c r="I253" s="20" t="n">
        <x:v>1</x:v>
      </x:c>
      <x:c r="J253" s="20" t="n">
        <x:v>0</x:v>
      </x:c>
      <x:c r="K253" s="20" t="n">
        <x:v>1</x:v>
      </x:c>
      <x:c r="L253" s="20" t="str">
        <x:v>139115178X</x:v>
      </x:c>
    </x:row>
    <x:row r="254" ht="44" customHeight="1">
      <x:c r="A254" s="20" t="str">
        <x:v>amir-gudarzi-b3da5aa7ea</x:v>
      </x:c>
      <x:c r="B254" s="20" t="str">
        <x:v>Amir Gudarzi</x:v>
      </x:c>
      <x:c r="C254" s="20" t="str">
        <x:v>[Wer deutet die Welt?] ; Wer deutet die Welt?</x:v>
      </x:c>
      <x:c r="D254" s="20" t="n">
        <x:v>1</x:v>
      </x:c>
      <x:c r="E254" s="36" t="str">
        <x:v>AUTO_EXCLUDE_NON_LITERARY</x:v>
      </x:c>
      <x:c r="F254" s="20" t="str">
        <x:v>German record(s), but no stated literary subject or genre signal.</x:v>
      </x:c>
      <x:c r="G254" s="20" t="str">
        <x:v>ger</x:v>
      </x:c>
      <x:c r="H254" s="20" t="n">
        <x:v>0</x:v>
      </x:c>
      <x:c r="I254" s="20" t="n">
        <x:v>1</x:v>
      </x:c>
      <x:c r="J254" s="20" t="n">
        <x:v>0</x:v>
      </x:c>
      <x:c r="K254" s="20" t="n">
        <x:v>0</x:v>
      </x:c>
      <x:c r="L254" s="20" t="str">
        <x:v>1220447439</x:v>
      </x:c>
    </x:row>
    <x:row r="255" ht="44" customHeight="1">
      <x:c r="A255" s="20" t="str">
        <x:v>amir-gudarzi-29a8792233</x:v>
      </x:c>
      <x:c r="B255" s="20" t="str">
        <x:v>Amir Gudarzi</x:v>
      </x:c>
      <x:c r="C255" s="20" t="str">
        <x:v>Das Ende ist nah : Roman</x:v>
      </x:c>
      <x:c r="D255" s="20" t="n">
        <x:v>1</x:v>
      </x:c>
      <x:c r="E255" s="35" t="str">
        <x:v>CORE_FOR_WORK_CLUSTERING</x:v>
      </x:c>
      <x:c r="F255" s="20" t="str">
        <x:v>At least one German literary record without translation evidence.</x:v>
      </x:c>
      <x:c r="G255" s="20" t="str">
        <x:v>ger</x:v>
      </x:c>
      <x:c r="H255" s="20" t="n">
        <x:v>1</x:v>
      </x:c>
      <x:c r="I255" s="20" t="n">
        <x:v>1</x:v>
      </x:c>
      <x:c r="J255" s="20" t="n">
        <x:v>0</x:v>
      </x:c>
      <x:c r="K255" s="20" t="n">
        <x:v>1</x:v>
      </x:c>
      <x:c r="L255" s="20" t="str">
        <x:v>1255396741</x:v>
      </x:c>
    </x:row>
    <x:row r="256" ht="44" customHeight="1">
      <x:c r="A256" s="20" t="str">
        <x:v>amir-gudarzi-b1637201a9</x:v>
      </x:c>
      <x:c r="B256" s="20" t="str">
        <x:v>Amir Gudarzi</x:v>
      </x:c>
      <x:c r="C256" s="20" t="str">
        <x:v>Das Ende ist nah : Roman | »Seine Haut kann er nicht retten, aber eine Hoffnung und seine Geschichte.« Julia Franck</x:v>
      </x:c>
      <x:c r="D256" s="20" t="n">
        <x:v>1</x:v>
      </x:c>
      <x:c r="E256" s="35" t="str">
        <x:v>CORE_FOR_WORK_CLUSTERING</x:v>
      </x:c>
      <x:c r="F256" s="20" t="str">
        <x:v>At least one German literary record without translation evidence.</x:v>
      </x:c>
      <x:c r="G256" s="20" t="str">
        <x:v>ger</x:v>
      </x:c>
      <x:c r="H256" s="20" t="n">
        <x:v>1</x:v>
      </x:c>
      <x:c r="I256" s="20" t="n">
        <x:v>1</x:v>
      </x:c>
      <x:c r="J256" s="20" t="n">
        <x:v>0</x:v>
      </x:c>
      <x:c r="K256" s="20" t="n">
        <x:v>1</x:v>
      </x:c>
      <x:c r="L256" s="20" t="str">
        <x:v>1299652808</x:v>
      </x:c>
    </x:row>
    <x:row r="257" ht="44" customHeight="1">
      <x:c r="A257" s="20" t="str">
        <x:v>hengameh-yaghoobifarah-57b1b0d1a9</x:v>
      </x:c>
      <x:c r="B257" s="20" t="str">
        <x:v>Hengameh Yaghoobifarah</x:v>
      </x:c>
      <x:c r="C257" s="20" t="str">
        <x:v>[Ministerium der Träume] ; Ministerie van dromen : roman</x:v>
      </x:c>
      <x:c r="D257" s="20" t="n">
        <x:v>1</x:v>
      </x:c>
      <x:c r="E257" s="36" t="str">
        <x:v>AUTO_EXCLUDE_NON_GERMAN</x:v>
      </x:c>
      <x:c r="F257" s="20" t="str">
        <x:v>All records are non-German publications.</x:v>
      </x:c>
      <x:c r="G257" s="20" t="str">
        <x:v>dut</x:v>
      </x:c>
      <x:c r="H257" s="20" t="n">
        <x:v>1</x:v>
      </x:c>
      <x:c r="I257" s="20" t="n">
        <x:v>0</x:v>
      </x:c>
      <x:c r="J257" s="20" t="n">
        <x:v>1</x:v>
      </x:c>
      <x:c r="K257" s="20" t="n">
        <x:v>0</x:v>
      </x:c>
      <x:c r="L257" s="20" t="str">
        <x:v>1261492943</x:v>
      </x:c>
    </x:row>
    <x:row r="258" ht="44" customHeight="1">
      <x:c r="A258" s="20" t="str">
        <x:v>hengameh-yaghoobifarah-888659b06e</x:v>
      </x:c>
      <x:c r="B258" s="20" t="str">
        <x:v>Hengameh Yaghoobifarah</x:v>
      </x:c>
      <x:c r="C258" s="20" t="str">
        <x:v>[Ministerium der Träume] ; Továrna na zlý sny</x:v>
      </x:c>
      <x:c r="D258" s="20" t="n">
        <x:v>1</x:v>
      </x:c>
      <x:c r="E258" s="36" t="str">
        <x:v>AUTO_EXCLUDE_NON_GERMAN</x:v>
      </x:c>
      <x:c r="F258" s="20" t="str">
        <x:v>All records are non-German publications.</x:v>
      </x:c>
      <x:c r="G258" s="20" t="str">
        <x:v>cze</x:v>
      </x:c>
      <x:c r="H258" s="20" t="n">
        <x:v>0</x:v>
      </x:c>
      <x:c r="I258" s="20" t="n">
        <x:v>0</x:v>
      </x:c>
      <x:c r="J258" s="20" t="n">
        <x:v>1</x:v>
      </x:c>
      <x:c r="K258" s="20" t="n">
        <x:v>0</x:v>
      </x:c>
      <x:c r="L258" s="20" t="str">
        <x:v>1418125342</x:v>
      </x:c>
    </x:row>
    <x:row r="259" ht="44" customHeight="1">
      <x:c r="A259" s="20" t="str">
        <x:v>hengameh-yaghoobifarah-e1b44562d0</x:v>
      </x:c>
      <x:c r="B259" s="20" t="str">
        <x:v>Hengameh Yaghoobifarah</x:v>
      </x:c>
      <x:c r="C259" s="20" t="str">
        <x:v>[Yaghoobifarah] ; Habibitus</x:v>
      </x:c>
      <x:c r="D259" s="20" t="n">
        <x:v>4</x:v>
      </x:c>
      <x:c r="E259" s="36" t="str">
        <x:v>AUTO_EXCLUDE_NON_LITERARY</x:v>
      </x:c>
      <x:c r="F259" s="20" t="str">
        <x:v>German record(s), but no stated literary subject or genre signal.</x:v>
      </x:c>
      <x:c r="G259" s="20" t="str">
        <x:v>ger</x:v>
      </x:c>
      <x:c r="H259" s="20" t="n">
        <x:v>0</x:v>
      </x:c>
      <x:c r="I259" s="20" t="n">
        <x:v>4</x:v>
      </x:c>
      <x:c r="J259" s="20" t="n">
        <x:v>0</x:v>
      </x:c>
      <x:c r="K259" s="20" t="n">
        <x:v>0</x:v>
      </x:c>
      <x:c r="L259" s="20" t="str">
        <x:v>1369587198 | 1285554280 | 1272808548 | 1284322572</x:v>
      </x:c>
    </x:row>
    <x:row r="260" ht="44" customHeight="1">
      <x:c r="A260" s="20" t="str">
        <x:v>hengameh-yaghoobifarah-3b117e7dcf</x:v>
      </x:c>
      <x:c r="B260" s="20" t="str">
        <x:v>Hengameh Yaghoobifarah</x:v>
      </x:c>
      <x:c r="C260" s="20" t="str">
        <x:v>Encyclopaedia Almanica</x:v>
      </x:c>
      <x:c r="D260" s="20" t="n">
        <x:v>1</x:v>
      </x:c>
      <x:c r="E260" s="36" t="str">
        <x:v>AUTO_EXCLUDE_NON_LITERARY</x:v>
      </x:c>
      <x:c r="F260" s="20" t="str">
        <x:v>German record(s), but no stated literary subject or genre signal.</x:v>
      </x:c>
      <x:c r="G260" s="20" t="str">
        <x:v>ger</x:v>
      </x:c>
      <x:c r="H260" s="20" t="n">
        <x:v>0</x:v>
      </x:c>
      <x:c r="I260" s="20" t="n">
        <x:v>1</x:v>
      </x:c>
      <x:c r="J260" s="20" t="n">
        <x:v>0</x:v>
      </x:c>
      <x:c r="K260" s="20" t="n">
        <x:v>0</x:v>
      </x:c>
      <x:c r="L260" s="20" t="str">
        <x:v>1200038177</x:v>
      </x:c>
    </x:row>
    <x:row r="261" ht="44" customHeight="1">
      <x:c r="A261" s="20" t="str">
        <x:v>hengameh-yaghoobifarah-8cf377233f</x:v>
      </x:c>
      <x:c r="B261" s="20" t="str">
        <x:v>Hengameh Yaghoobifarah</x:v>
      </x:c>
      <x:c r="C261" s="20" t="str">
        <x:v>Eure Heimat ist unser Albtraum</x:v>
      </x:c>
      <x:c r="D261" s="20" t="n">
        <x:v>1</x:v>
      </x:c>
      <x:c r="E261" s="36" t="str">
        <x:v>AUTO_EXCLUDE_NON_LITERARY</x:v>
      </x:c>
      <x:c r="F261" s="20" t="str">
        <x:v>German record(s), but no stated literary subject or genre signal.</x:v>
      </x:c>
      <x:c r="G261" s="20" t="str">
        <x:v>ger</x:v>
      </x:c>
      <x:c r="H261" s="20" t="n">
        <x:v>0</x:v>
      </x:c>
      <x:c r="I261" s="20" t="n">
        <x:v>1</x:v>
      </x:c>
      <x:c r="J261" s="20" t="n">
        <x:v>0</x:v>
      </x:c>
      <x:c r="K261" s="20" t="n">
        <x:v>0</x:v>
      </x:c>
      <x:c r="L261" s="20" t="str">
        <x:v>1306694302</x:v>
      </x:c>
    </x:row>
    <x:row r="262" ht="44" customHeight="1">
      <x:c r="A262" s="20" t="str">
        <x:v>hengameh-yaghoobifarah-e7ded865a6</x:v>
      </x:c>
      <x:c r="B262" s="20" t="str">
        <x:v>Hengameh Yaghoobifarah</x:v>
      </x:c>
      <x:c r="C262" s="20" t="str">
        <x:v>Eure Heimat ist unser Albtraum : Mit Beiträgen von Sasha Marianna Salzmann, Sharon Dodua Otoo, Max Czollek, Mithu Sanyal, Olga Grjasnowa, Margarete Stokowski uvm</x:v>
      </x:c>
      <x:c r="D262" s="20" t="n">
        <x:v>1</x:v>
      </x:c>
      <x:c r="E262" s="36" t="str">
        <x:v>AUTO_EXCLUDE_NON_LITERARY</x:v>
      </x:c>
      <x:c r="F262" s="20" t="str">
        <x:v>German record(s), but no stated literary subject or genre signal.</x:v>
      </x:c>
      <x:c r="G262" s="20" t="str">
        <x:v>ger</x:v>
      </x:c>
      <x:c r="H262" s="20" t="n">
        <x:v>0</x:v>
      </x:c>
      <x:c r="I262" s="20" t="n">
        <x:v>1</x:v>
      </x:c>
      <x:c r="J262" s="20" t="n">
        <x:v>0</x:v>
      </x:c>
      <x:c r="K262" s="20" t="n">
        <x:v>0</x:v>
      </x:c>
      <x:c r="L262" s="20" t="str">
        <x:v>1181063000</x:v>
      </x:c>
    </x:row>
    <x:row r="263" ht="44" customHeight="1">
      <x:c r="A263" s="20" t="str">
        <x:v>hengameh-yaghoobifarah-2192354343</x:v>
      </x:c>
      <x:c r="B263" s="20" t="str">
        <x:v>Hengameh Yaghoobifarah</x:v>
      </x:c>
      <x:c r="C263" s="20" t="str">
        <x:v>Eure Heimat ist unser Albtraum : Mit Beiträgen von Sasha Marianna Salzmann, Sharon Dodua Otoo, Max Czollek, Mithu Sanyal, Olga Grjasnowa, Margarete Stokowski uvm. | Der Bestseller in Neuausgabe</x:v>
      </x:c>
      <x:c r="D263" s="20" t="n">
        <x:v>1</x:v>
      </x:c>
      <x:c r="E263" s="36" t="str">
        <x:v>AUTO_EXCLUDE_NON_LITERARY</x:v>
      </x:c>
      <x:c r="F263" s="20" t="str">
        <x:v>German record(s), but no stated literary subject or genre signal.</x:v>
      </x:c>
      <x:c r="G263" s="20" t="str">
        <x:v>ger</x:v>
      </x:c>
      <x:c r="H263" s="20" t="n">
        <x:v>0</x:v>
      </x:c>
      <x:c r="I263" s="20" t="n">
        <x:v>1</x:v>
      </x:c>
      <x:c r="J263" s="20" t="n">
        <x:v>0</x:v>
      </x:c>
      <x:c r="K263" s="20" t="n">
        <x:v>0</x:v>
      </x:c>
      <x:c r="L263" s="20" t="str">
        <x:v>132209991X</x:v>
      </x:c>
    </x:row>
    <x:row r="264" ht="44" customHeight="1">
      <x:c r="A264" s="20" t="str">
        <x:v>hengameh-yaghoobifarah-a46a77d1e6</x:v>
      </x:c>
      <x:c r="B264" s="20" t="str">
        <x:v>Hengameh Yaghoobifarah</x:v>
      </x:c>
      <x:c r="C264" s="20" t="str">
        <x:v>Faule Frauen : : ein Videointerview mit dem Missy-Magazin</x:v>
      </x:c>
      <x:c r="D264" s="20" t="n">
        <x:v>1</x:v>
      </x:c>
      <x:c r="E264" s="36" t="str">
        <x:v>AUTO_EXCLUDE_NON_LITERARY</x:v>
      </x:c>
      <x:c r="F264" s="20" t="str">
        <x:v>German record(s), but no stated literary subject or genre signal.</x:v>
      </x:c>
      <x:c r="G264" s="20" t="str">
        <x:v>ger</x:v>
      </x:c>
      <x:c r="H264" s="20" t="n">
        <x:v>0</x:v>
      </x:c>
      <x:c r="I264" s="20" t="n">
        <x:v>1</x:v>
      </x:c>
      <x:c r="J264" s="20" t="n">
        <x:v>0</x:v>
      </x:c>
      <x:c r="K264" s="20" t="n">
        <x:v>0</x:v>
      </x:c>
      <x:c r="L264" s="20" t="str">
        <x:v>1122860900</x:v>
      </x:c>
    </x:row>
    <x:row r="265" ht="44" customHeight="1">
      <x:c r="A265" s="20" t="str">
        <x:v>hengameh-yaghoobifarah-f1decad869</x:v>
      </x:c>
      <x:c r="B265" s="20" t="str">
        <x:v>Hengameh Yaghoobifarah</x:v>
      </x:c>
      <x:c r="C265" s="20" t="str">
        <x:v>HABIBITUS</x:v>
      </x:c>
      <x:c r="D265" s="20" t="n">
        <x:v>1</x:v>
      </x:c>
      <x:c r="E265" s="36" t="str">
        <x:v>AUTO_EXCLUDE_NON_LITERARY</x:v>
      </x:c>
      <x:c r="F265" s="20" t="str">
        <x:v>German record(s), but no stated literary subject or genre signal.</x:v>
      </x:c>
      <x:c r="G265" s="20" t="str">
        <x:v>ger</x:v>
      </x:c>
      <x:c r="H265" s="20" t="n">
        <x:v>0</x:v>
      </x:c>
      <x:c r="I265" s="20" t="n">
        <x:v>1</x:v>
      </x:c>
      <x:c r="J265" s="20" t="n">
        <x:v>0</x:v>
      </x:c>
      <x:c r="K265" s="20" t="n">
        <x:v>0</x:v>
      </x:c>
      <x:c r="L265" s="20" t="str">
        <x:v>1314196790</x:v>
      </x:c>
    </x:row>
    <x:row r="266" ht="44" customHeight="1">
      <x:c r="A266" s="20" t="str">
        <x:v>hengameh-yaghoobifarah-44a14352dd</x:v>
      </x:c>
      <x:c r="B266" s="20" t="str">
        <x:v>Hengameh Yaghoobifarah</x:v>
      </x:c>
      <x:c r="C266" s="20" t="str">
        <x:v>Ich war auf der Fusion, und alles, was ich bekam, war ein blutiges Herz</x:v>
      </x:c>
      <x:c r="D266" s="20" t="n">
        <x:v>2</x:v>
      </x:c>
      <x:c r="E266" s="35" t="str">
        <x:v>CORE_FOR_WORK_CLUSTERING</x:v>
      </x:c>
      <x:c r="F266" s="20" t="str">
        <x:v>At least one German literary record without translation evidence.</x:v>
      </x:c>
      <x:c r="G266" s="20" t="str">
        <x:v>ger</x:v>
      </x:c>
      <x:c r="H266" s="20" t="n">
        <x:v>2</x:v>
      </x:c>
      <x:c r="I266" s="20" t="n">
        <x:v>2</x:v>
      </x:c>
      <x:c r="J266" s="20" t="n">
        <x:v>0</x:v>
      </x:c>
      <x:c r="K266" s="20" t="n">
        <x:v>2</x:v>
      </x:c>
      <x:c r="L266" s="20" t="str">
        <x:v>1271262223 | 1156857996</x:v>
      </x:c>
    </x:row>
    <x:row r="267" ht="44" customHeight="1">
      <x:c r="A267" s="20" t="str">
        <x:v>hengameh-yaghoobifarah-56f0109612</x:v>
      </x:c>
      <x:c r="B267" s="20" t="str">
        <x:v>Hengameh Yaghoobifarah</x:v>
      </x:c>
      <x:c r="C267" s="20" t="str">
        <x:v>Ministerium der Träume</x:v>
      </x:c>
      <x:c r="D267" s="20" t="n">
        <x:v>3</x:v>
      </x:c>
      <x:c r="E267" s="35" t="str">
        <x:v>CORE_FOR_WORK_CLUSTERING</x:v>
      </x:c>
      <x:c r="F267" s="20" t="str">
        <x:v>At least one German literary record without translation evidence.</x:v>
      </x:c>
      <x:c r="G267" s="20" t="str">
        <x:v>ger</x:v>
      </x:c>
      <x:c r="H267" s="20" t="n">
        <x:v>3</x:v>
      </x:c>
      <x:c r="I267" s="20" t="n">
        <x:v>3</x:v>
      </x:c>
      <x:c r="J267" s="20" t="n">
        <x:v>0</x:v>
      </x:c>
      <x:c r="K267" s="20" t="n">
        <x:v>3</x:v>
      </x:c>
      <x:c r="L267" s="20" t="str">
        <x:v>126439554X | 1224438329 | 1227186797</x:v>
      </x:c>
    </x:row>
    <x:row r="268" ht="44" customHeight="1">
      <x:c r="A268" s="20" t="str">
        <x:v>hengameh-yaghoobifarah-0712aa95af</x:v>
      </x:c>
      <x:c r="B268" s="20" t="str">
        <x:v>Hengameh Yaghoobifarah</x:v>
      </x:c>
      <x:c r="C268" s="20" t="str">
        <x:v>Ministerium der Träume : Roman</x:v>
      </x:c>
      <x:c r="D268" s="20" t="n">
        <x:v>3</x:v>
      </x:c>
      <x:c r="E268" s="35" t="str">
        <x:v>CORE_FOR_WORK_CLUSTERING</x:v>
      </x:c>
      <x:c r="F268" s="20" t="str">
        <x:v>At least one German literary record without translation evidence.</x:v>
      </x:c>
      <x:c r="G268" s="20" t="str">
        <x:v>ger</x:v>
      </x:c>
      <x:c r="H268" s="20" t="n">
        <x:v>3</x:v>
      </x:c>
      <x:c r="I268" s="20" t="n">
        <x:v>3</x:v>
      </x:c>
      <x:c r="J268" s="20" t="n">
        <x:v>0</x:v>
      </x:c>
      <x:c r="K268" s="20" t="n">
        <x:v>3</x:v>
      </x:c>
      <x:c r="L268" s="20" t="str">
        <x:v>1255135301 | 122173668X | 1223611736</x:v>
      </x:c>
    </x:row>
    <x:row r="269" ht="44" customHeight="1">
      <x:c r="A269" s="20" t="str">
        <x:v>hengameh-yaghoobifarah-b48e0ecfeb</x:v>
      </x:c>
      <x:c r="B269" s="20" t="str">
        <x:v>Hengameh Yaghoobifarah</x:v>
      </x:c>
      <x:c r="C269" s="20" t="str">
        <x:v>Schwindel : Roman</x:v>
      </x:c>
      <x:c r="D269" s="20" t="n">
        <x:v>3</x:v>
      </x:c>
      <x:c r="E269" s="35" t="str">
        <x:v>CORE_FOR_WORK_CLUSTERING</x:v>
      </x:c>
      <x:c r="F269" s="20" t="str">
        <x:v>At least one German literary record without translation evidence.</x:v>
      </x:c>
      <x:c r="G269" s="20" t="str">
        <x:v>ger</x:v>
      </x:c>
      <x:c r="H269" s="20" t="n">
        <x:v>3</x:v>
      </x:c>
      <x:c r="I269" s="20" t="n">
        <x:v>3</x:v>
      </x:c>
      <x:c r="J269" s="20" t="n">
        <x:v>0</x:v>
      </x:c>
      <x:c r="K269" s="20" t="n">
        <x:v>3</x:v>
      </x:c>
      <x:c r="L269" s="20" t="str">
        <x:v>1395271798 | 1334161860 | 1325502545</x:v>
      </x:c>
    </x:row>
    <x:row r="270" ht="44" customHeight="1">
      <x:c r="A270" s="20" t="str">
        <x:v>hengameh-yaghoobifarah-3e881698d8</x:v>
      </x:c>
      <x:c r="B270" s="20" t="str">
        <x:v>Hengameh Yaghoobifarah</x:v>
      </x:c>
      <x:c r="C270" s="20" t="str">
        <x:v>Trigger Warnung : Identitätspolitik zwischen Abwehr, Abschottung und Allianzen</x:v>
      </x:c>
      <x:c r="D270" s="20" t="n">
        <x:v>1</x:v>
      </x:c>
      <x:c r="E270" s="36" t="str">
        <x:v>AUTO_EXCLUDE_NON_LITERARY</x:v>
      </x:c>
      <x:c r="F270" s="20" t="str">
        <x:v>German record(s), but no stated literary subject or genre signal.</x:v>
      </x:c>
      <x:c r="G270" s="20" t="str">
        <x:v>ger</x:v>
      </x:c>
      <x:c r="H270" s="20" t="n">
        <x:v>0</x:v>
      </x:c>
      <x:c r="I270" s="20" t="n">
        <x:v>1</x:v>
      </x:c>
      <x:c r="J270" s="20" t="n">
        <x:v>0</x:v>
      </x:c>
      <x:c r="K270" s="20" t="n">
        <x:v>0</x:v>
      </x:c>
      <x:c r="L270" s="20" t="str">
        <x:v>1190617463</x:v>
      </x:c>
    </x:row>
    <x:row r="271" ht="44" customHeight="1">
      <x:c r="A271" s="20" t="str">
        <x:v>may-atashkar-fbfc61e733</x:v>
      </x:c>
      <x:c r="B271" s="20" t="str">
        <x:v>May Atashkar</x:v>
      </x:c>
      <x:c r="C271" s="20" t="str">
        <x:v>Ein Himmel tausend Sterne</x:v>
      </x:c>
      <x:c r="D271" s="20" t="n">
        <x:v>1</x:v>
      </x:c>
      <x:c r="E271" s="35" t="str">
        <x:v>CORE_FOR_WORK_CLUSTERING</x:v>
      </x:c>
      <x:c r="F271" s="20" t="str">
        <x:v>At least one German literary record without translation evidence.</x:v>
      </x:c>
      <x:c r="G271" s="20" t="str">
        <x:v>ger</x:v>
      </x:c>
      <x:c r="H271" s="20" t="n">
        <x:v>1</x:v>
      </x:c>
      <x:c r="I271" s="20" t="n">
        <x:v>1</x:v>
      </x:c>
      <x:c r="J271" s="20" t="n">
        <x:v>0</x:v>
      </x:c>
      <x:c r="K271" s="20" t="n">
        <x:v>1</x:v>
      </x:c>
      <x:c r="L271" s="20" t="str">
        <x:v>1026743990</x:v>
      </x:c>
    </x:row>
    <x:row r="272" ht="44" customHeight="1">
      <x:c r="A272" s="20" t="str">
        <x:v>asal-dardan-9066feb0a9</x:v>
      </x:c>
      <x:c r="B272" s="20" t="str">
        <x:v>Asal Dardan</x:v>
      </x:c>
      <x:c r="C272" s="20" t="str">
        <x:v>Betrachtungen einer Barbarin</x:v>
      </x:c>
      <x:c r="D272" s="20" t="n">
        <x:v>3</x:v>
      </x:c>
      <x:c r="E272" s="36" t="str">
        <x:v>AUTO_EXCLUDE_NON_LITERARY</x:v>
      </x:c>
      <x:c r="F272" s="20" t="str">
        <x:v>German record(s), but no stated literary subject or genre signal.</x:v>
      </x:c>
      <x:c r="G272" s="20" t="str">
        <x:v>ger</x:v>
      </x:c>
      <x:c r="H272" s="20" t="n">
        <x:v>0</x:v>
      </x:c>
      <x:c r="I272" s="20" t="n">
        <x:v>3</x:v>
      </x:c>
      <x:c r="J272" s="20" t="n">
        <x:v>0</x:v>
      </x:c>
      <x:c r="K272" s="20" t="n">
        <x:v>0</x:v>
      </x:c>
      <x:c r="L272" s="20" t="str">
        <x:v>1244451150 | 1226541038 | 121986546X</x:v>
      </x:c>
    </x:row>
    <x:row r="273" ht="44" customHeight="1">
      <x:c r="A273" s="20" t="str">
        <x:v>asal-dardan-824aa2cf2b</x:v>
      </x:c>
      <x:c r="B273" s="20" t="str">
        <x:v>Asal Dardan</x:v>
      </x:c>
      <x:c r="C273" s="20" t="str">
        <x:v>Canceln : ein notwendiger Streit</x:v>
      </x:c>
      <x:c r="D273" s="20" t="n">
        <x:v>2</x:v>
      </x:c>
      <x:c r="E273" s="36" t="str">
        <x:v>AUTO_EXCLUDE_NON_LITERARY</x:v>
      </x:c>
      <x:c r="F273" s="20" t="str">
        <x:v>German record(s), but no stated literary subject or genre signal.</x:v>
      </x:c>
      <x:c r="G273" s="20" t="str">
        <x:v>ger</x:v>
      </x:c>
      <x:c r="H273" s="20" t="n">
        <x:v>0</x:v>
      </x:c>
      <x:c r="I273" s="20" t="n">
        <x:v>2</x:v>
      </x:c>
      <x:c r="J273" s="20" t="n">
        <x:v>0</x:v>
      </x:c>
      <x:c r="K273" s="20" t="n">
        <x:v>0</x:v>
      </x:c>
      <x:c r="L273" s="20" t="str">
        <x:v>1270293575 | 1283147300</x:v>
      </x:c>
    </x:row>
    <x:row r="274" ht="44" customHeight="1">
      <x:c r="A274" s="20" t="str">
        <x:v>asal-dardan-fdf7f0f581</x:v>
      </x:c>
      <x:c r="B274" s="20" t="str">
        <x:v>Asal Dardan</x:v>
      </x:c>
      <x:c r="C274" s="20" t="str">
        <x:v>Gegenwehr im Jetzt : Ein Gespräch über Erinnerung, Demokratie und Solidarität</x:v>
      </x:c>
      <x:c r="D274" s="20" t="n">
        <x:v>1</x:v>
      </x:c>
      <x:c r="E274" s="36" t="str">
        <x:v>AUTO_EXCLUDE_NON_LITERARY</x:v>
      </x:c>
      <x:c r="F274" s="20" t="str">
        <x:v>German record(s), but no stated literary subject or genre signal.</x:v>
      </x:c>
      <x:c r="G274" s="20" t="str">
        <x:v>ger</x:v>
      </x:c>
      <x:c r="H274" s="20" t="n">
        <x:v>0</x:v>
      </x:c>
      <x:c r="I274" s="20" t="n">
        <x:v>1</x:v>
      </x:c>
      <x:c r="J274" s="20" t="n">
        <x:v>0</x:v>
      </x:c>
      <x:c r="K274" s="20" t="n">
        <x:v>0</x:v>
      </x:c>
      <x:c r="L274" s="20" t="str">
        <x:v>1400710901</x:v>
      </x:c>
    </x:row>
    <x:row r="275" ht="44" customHeight="1">
      <x:c r="A275" s="20" t="str">
        <x:v>asal-dardan-ab752b6837</x:v>
      </x:c>
      <x:c r="B275" s="20" t="str">
        <x:v>Asal Dardan</x:v>
      </x:c>
      <x:c r="C275" s="20" t="str">
        <x:v>Gegenwehr im Jetzt : ein Gespräch über Erinnerung, Demokratie und Solidarität mit Shelly Kupferberg</x:v>
      </x:c>
      <x:c r="D275" s="20" t="n">
        <x:v>1</x:v>
      </x:c>
      <x:c r="E275" s="36" t="str">
        <x:v>AUTO_EXCLUDE_NON_LITERARY</x:v>
      </x:c>
      <x:c r="F275" s="20" t="str">
        <x:v>German record(s), but no stated literary subject or genre signal.</x:v>
      </x:c>
      <x:c r="G275" s="20" t="str">
        <x:v>ger</x:v>
      </x:c>
      <x:c r="H275" s="20" t="n">
        <x:v>0</x:v>
      </x:c>
      <x:c r="I275" s="20" t="n">
        <x:v>1</x:v>
      </x:c>
      <x:c r="J275" s="20" t="n">
        <x:v>0</x:v>
      </x:c>
      <x:c r="K275" s="20" t="n">
        <x:v>0</x:v>
      </x:c>
      <x:c r="L275" s="20" t="str">
        <x:v>1382819404</x:v>
      </x:c>
    </x:row>
    <x:row r="276" ht="44" customHeight="1">
      <x:c r="A276" s="20" t="str">
        <x:v>asal-dardan-e89d86099b</x:v>
      </x:c>
      <x:c r="B276" s="20" t="str">
        <x:v>Asal Dardan</x:v>
      </x:c>
      <x:c r="C276" s="20" t="str">
        <x:v>Global &amp; beta : E-Book Code Berlin. Anthologie</x:v>
      </x:c>
      <x:c r="D276" s="20" t="n">
        <x:v>1</x:v>
      </x:c>
      <x:c r="E276" s="35" t="str">
        <x:v>CORE_FOR_WORK_CLUSTERING</x:v>
      </x:c>
      <x:c r="F276" s="20" t="str">
        <x:v>At least one German literary record without translation evidence.</x:v>
      </x:c>
      <x:c r="G276" s="20" t="str">
        <x:v>ger</x:v>
      </x:c>
      <x:c r="H276" s="20" t="n">
        <x:v>1</x:v>
      </x:c>
      <x:c r="I276" s="20" t="n">
        <x:v>1</x:v>
      </x:c>
      <x:c r="J276" s="20" t="n">
        <x:v>0</x:v>
      </x:c>
      <x:c r="K276" s="20" t="n">
        <x:v>1</x:v>
      </x:c>
      <x:c r="L276" s="20" t="str">
        <x:v>1129227847</x:v>
      </x:c>
    </x:row>
    <x:row r="277" ht="44" customHeight="1">
      <x:c r="A277" s="20" t="str">
        <x:v>asal-dardan-8c73eeaa69</x:v>
      </x:c>
      <x:c r="B277" s="20" t="str">
        <x:v>Asal Dardan</x:v>
      </x:c>
      <x:c r="C277" s="20" t="str">
        <x:v>Global &amp; beta English version : E-Book Code Berlin. A Reader</x:v>
      </x:c>
      <x:c r="D277" s="20" t="n">
        <x:v>1</x:v>
      </x:c>
      <x:c r="E277" s="32" t="str">
        <x:v>REVIEW_TRANSLATION_OR_BILINGUAL</x:v>
      </x:c>
      <x:c r="F277" s="20" t="str">
        <x:v>German literary record has a translator role but no stated non-German original language.</x:v>
      </x:c>
      <x:c r="G277" s="20" t="str">
        <x:v>ger</x:v>
      </x:c>
      <x:c r="H277" s="20" t="n">
        <x:v>1</x:v>
      </x:c>
      <x:c r="I277" s="20" t="n">
        <x:v>1</x:v>
      </x:c>
      <x:c r="J277" s="20" t="n">
        <x:v>1</x:v>
      </x:c>
      <x:c r="K277" s="20" t="n">
        <x:v>0</x:v>
      </x:c>
      <x:c r="L277" s="20" t="str">
        <x:v>1120467063</x:v>
      </x:c>
    </x:row>
    <x:row r="278" ht="44" customHeight="1">
      <x:c r="A278" s="20" t="str">
        <x:v>asal-dardan-e7ffac7335</x:v>
      </x:c>
      <x:c r="B278" s="20" t="str">
        <x:v>Asal Dardan</x:v>
      </x:c>
      <x:c r="C278" s="20" t="str">
        <x:v>Ost*West*frau*</x:v>
      </x:c>
      <x:c r="D278" s="20" t="n">
        <x:v>1</x:v>
      </x:c>
      <x:c r="E278" s="36" t="str">
        <x:v>AUTO_EXCLUDE_NON_LITERARY</x:v>
      </x:c>
      <x:c r="F278" s="20" t="str">
        <x:v>German record(s), but no stated literary subject or genre signal.</x:v>
      </x:c>
      <x:c r="G278" s="20" t="str">
        <x:v>ger</x:v>
      </x:c>
      <x:c r="H278" s="20" t="n">
        <x:v>0</x:v>
      </x:c>
      <x:c r="I278" s="20" t="n">
        <x:v>1</x:v>
      </x:c>
      <x:c r="J278" s="20" t="n">
        <x:v>0</x:v>
      </x:c>
      <x:c r="K278" s="20" t="n">
        <x:v>0</x:v>
      </x:c>
      <x:c r="L278" s="20" t="str">
        <x:v>134879769X</x:v>
      </x:c>
    </x:row>
    <x:row r="279" ht="44" customHeight="1">
      <x:c r="A279" s="20" t="str">
        <x:v>asal-dardan-da8e852e09</x:v>
      </x:c>
      <x:c r="B279" s="20" t="str">
        <x:v>Asal Dardan</x:v>
      </x:c>
      <x:c r="C279" s="20" t="str">
        <x:v>Ost*West*frau* : Wie wir wurden, wer wir sind. Eine vielstimmige Anthologie über Ost- und West-Frauen zwischen politischen Systemen, Emanzipation und persönlicher Erfahrung</x:v>
      </x:c>
      <x:c r="D279" s="20" t="n">
        <x:v>1</x:v>
      </x:c>
      <x:c r="E279" s="36" t="str">
        <x:v>AUTO_EXCLUDE_NON_LITERARY</x:v>
      </x:c>
      <x:c r="F279" s="20" t="str">
        <x:v>German record(s), but no stated literary subject or genre signal.</x:v>
      </x:c>
      <x:c r="G279" s="20" t="str">
        <x:v>ger</x:v>
      </x:c>
      <x:c r="H279" s="20" t="n">
        <x:v>0</x:v>
      </x:c>
      <x:c r="I279" s="20" t="n">
        <x:v>1</x:v>
      </x:c>
      <x:c r="J279" s="20" t="n">
        <x:v>0</x:v>
      </x:c>
      <x:c r="K279" s="20" t="n">
        <x:v>0</x:v>
      </x:c>
      <x:c r="L279" s="20" t="str">
        <x:v>1357817711</x:v>
      </x:c>
    </x:row>
    <x:row r="280" ht="44" customHeight="1">
      <x:c r="A280" s="20" t="str">
        <x:v>asal-dardan-db1678df5f</x:v>
      </x:c>
      <x:c r="B280" s="20" t="str">
        <x:v>Asal Dardan</x:v>
      </x:c>
      <x:c r="C280" s="20" t="str">
        <x:v>Traumaland : Eine Spurensuche in deutscher Vergangenheit und Gegenwart</x:v>
      </x:c>
      <x:c r="D280" s="20" t="n">
        <x:v>2</x:v>
      </x:c>
      <x:c r="E280" s="36" t="str">
        <x:v>AUTO_EXCLUDE_NON_LITERARY</x:v>
      </x:c>
      <x:c r="F280" s="20" t="str">
        <x:v>German record(s), but no stated literary subject or genre signal.</x:v>
      </x:c>
      <x:c r="G280" s="20" t="str">
        <x:v>ger</x:v>
      </x:c>
      <x:c r="H280" s="20" t="n">
        <x:v>0</x:v>
      </x:c>
      <x:c r="I280" s="20" t="n">
        <x:v>2</x:v>
      </x:c>
      <x:c r="J280" s="20" t="n">
        <x:v>0</x:v>
      </x:c>
      <x:c r="K280" s="20" t="n">
        <x:v>0</x:v>
      </x:c>
      <x:c r="L280" s="20" t="str">
        <x:v>135821350X | 1324703822</x:v>
      </x:c>
    </x:row>
    <x:row r="281" ht="44" customHeight="1">
      <x:c r="A281" s="20" t="str">
        <x:v>asal-dardan-c450be95c9</x:v>
      </x:c>
      <x:c r="B281" s="20" t="str">
        <x:v>Asal Dardan</x:v>
      </x:c>
      <x:c r="C281" s="20" t="str">
        <x:v>Trotzdem sprechen</x:v>
      </x:c>
      <x:c r="D281" s="20" t="n">
        <x:v>1</x:v>
      </x:c>
      <x:c r="E281" s="36" t="str">
        <x:v>AUTO_EXCLUDE_NON_LITERARY</x:v>
      </x:c>
      <x:c r="F281" s="20" t="str">
        <x:v>German record(s), but no stated literary subject or genre signal.</x:v>
      </x:c>
      <x:c r="G281" s="20" t="str">
        <x:v>ger</x:v>
      </x:c>
      <x:c r="H281" s="20" t="n">
        <x:v>0</x:v>
      </x:c>
      <x:c r="I281" s="20" t="n">
        <x:v>1</x:v>
      </x:c>
      <x:c r="J281" s="20" t="n">
        <x:v>0</x:v>
      </x:c>
      <x:c r="K281" s="20" t="n">
        <x:v>0</x:v>
      </x:c>
      <x:c r="L281" s="20" t="str">
        <x:v>1322895724</x:v>
      </x:c>
    </x:row>
    <x:row r="282" ht="44" customHeight="1">
      <x:c r="A282" s="20" t="str">
        <x:v>asal-dardan-4f8afc3693</x:v>
      </x:c>
      <x:c r="B282" s="20" t="str">
        <x:v>Asal Dardan</x:v>
      </x:c>
      <x:c r="C282" s="20" t="str">
        <x:v>Trotzdem sprechen : Dies ist die konkreteste Utopie unserer Tage!</x:v>
      </x:c>
      <x:c r="D282" s="20" t="n">
        <x:v>1</x:v>
      </x:c>
      <x:c r="E282" s="36" t="str">
        <x:v>AUTO_EXCLUDE_NON_LITERARY</x:v>
      </x:c>
      <x:c r="F282" s="20" t="str">
        <x:v>German record(s), but no stated literary subject or genre signal.</x:v>
      </x:c>
      <x:c r="G282" s="20" t="str">
        <x:v>ger</x:v>
      </x:c>
      <x:c r="H282" s="20" t="n">
        <x:v>0</x:v>
      </x:c>
      <x:c r="I282" s="20" t="n">
        <x:v>1</x:v>
      </x:c>
      <x:c r="J282" s="20" t="n">
        <x:v>0</x:v>
      </x:c>
      <x:c r="K282" s="20" t="n">
        <x:v>0</x:v>
      </x:c>
      <x:c r="L282" s="20" t="str">
        <x:v>1327522683</x:v>
      </x:c>
    </x:row>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Pr>
    <x:tabColor rgb="FFFFC000"/>
  </x:sheetPr>
  <x:sheetViews>
    <x:sheetView showGridLines="0" workbookViewId="0">
      <x:pane ySplit="4" topLeftCell="A5" activePane="bottomLeft" state="frozen"/>
    </x:sheetView>
  </x:sheetViews>
  <x:sheetFormatPr defaultRowHeight="15"/>
  <x:cols>
    <x:col min="1" max="1" width="35" hidden="0" customWidth="1"/>
    <x:col min="2" max="2" width="23" hidden="0" customWidth="1"/>
    <x:col min="3" max="3" width="35" hidden="0" customWidth="1"/>
    <x:col min="4" max="4" width="38" hidden="0" customWidth="1"/>
    <x:col min="5" max="5" width="38" hidden="0" customWidth="1"/>
    <x:col min="6" max="6" width="45" hidden="0" customWidth="1"/>
    <x:col min="7" max="7" width="30" hidden="0" customWidth="1"/>
    <x:col min="8" max="8" width="30" hidden="0" customWidth="1"/>
  </x:cols>
  <x:sheetData>
    <x:row r="1" ht="30" customHeight="1">
      <x:c r="A1" s="3" t="str">
        <x:v>Spot-check sample — not full manual cleaning</x:v>
      </x:c>
      <x:c r="B1" s="3"/>
      <x:c r="C1" s="3"/>
      <x:c r="D1" s="3"/>
      <x:c r="E1" s="3"/>
      <x:c r="F1" s="3"/>
      <x:c r="G1" s="3"/>
      <x:c r="H1" s="3"/>
    </x:row>
    <x:row r="2" ht="44" customHeight="1">
      <x:c r="A2" s="7" t="str">
        <x:v>Representative checks after the translation-rule repair. The full automated classification remains available in the two preceding sheets.</x:v>
      </x:c>
      <x:c r="B2" s="7"/>
      <x:c r="C2" s="7"/>
      <x:c r="D2" s="7"/>
      <x:c r="E2" s="7"/>
      <x:c r="F2" s="7"/>
      <x:c r="G2" s="7"/>
      <x:c r="H2" s="7"/>
    </x:row>
    <x:row r="4" ht="42" customHeight="1">
      <x:c r="A4" s="17" t="str">
        <x:v>Spot-check type</x:v>
      </x:c>
      <x:c r="B4" s="17" t="str">
        <x:v>Author</x:v>
      </x:c>
      <x:c r="C4" s="17" t="str">
        <x:v>Title</x:v>
      </x:c>
      <x:c r="D4" s="17" t="str">
        <x:v>Automated decision</x:v>
      </x:c>
      <x:c r="E4" s="17" t="str">
        <x:v>Reason</x:v>
      </x:c>
      <x:c r="F4" s="17" t="str">
        <x:v>DNB IDs</x:v>
      </x:c>
      <x:c r="G4" s="17" t="str">
        <x:v>YOUR SPOT-CHECK RESULT</x:v>
      </x:c>
      <x:c r="H4" s="17" t="str">
        <x:v>YOUR NOTE</x:v>
      </x:c>
    </x:row>
    <x:row r="5" ht="50" customHeight="1">
      <x:c r="A5" s="20" t="str">
        <x:v>flagged automatic keep outside capped queue</x:v>
      </x:c>
      <x:c r="B5" s="20" t="str">
        <x:v>Navid Kermani</x:v>
      </x:c>
      <x:c r="C5" s="20" t="str">
        <x:v>Dein Name</x:v>
      </x:c>
      <x:c r="D5" s="20" t="str">
        <x:v>AUTO_KEEP_FLAGGED_FOR_SPOT_CHECK</x:v>
      </x:c>
      <x:c r="E5" s="20" t="str">
        <x:v>multiple original title groups merged</x:v>
      </x:c>
      <x:c r="F5" s="20" t="str">
        <x:v>1011238136 | 102000987X | 1043990771 | 1061000885</x:v>
      </x:c>
      <x:c r="G5" s="21" t="str"/>
      <x:c r="H5" s="21" t="str"/>
    </x:row>
    <x:row r="6" ht="50" customHeight="1">
      <x:c r="A6" s="20" t="str">
        <x:v>flagged automatic keep outside capped queue</x:v>
      </x:c>
      <x:c r="B6" s="20" t="str">
        <x:v>Navid Kermani</x:v>
      </x:c>
      <x:c r="C6" s="20" t="str">
        <x:v>Kurzmitteilung</x:v>
      </x:c>
      <x:c r="D6" s="20" t="str">
        <x:v>AUTO_KEEP_FLAGGED_FOR_SPOT_CHECK</x:v>
      </x:c>
      <x:c r="E6" s="20" t="str">
        <x:v>multiple original title groups merged</x:v>
      </x:c>
      <x:c r="F6" s="20" t="str">
        <x:v>1056859156 | 982478631</x:v>
      </x:c>
      <x:c r="G6" s="21" t="str"/>
      <x:c r="H6" s="21" t="str"/>
    </x:row>
    <x:row r="7" ht="50" customHeight="1">
      <x:c r="A7" s="20" t="str">
        <x:v>flagged automatic keep outside capped queue</x:v>
      </x:c>
      <x:c r="B7" s="20" t="str">
        <x:v>Navid Kermani</x:v>
      </x:c>
      <x:c r="C7" s="20" t="str">
        <x:v>Sozusagen Paris</x:v>
      </x:c>
      <x:c r="D7" s="20" t="str">
        <x:v>AUTO_KEEP_FLAGGED_FOR_SPOT_CHECK</x:v>
      </x:c>
      <x:c r="E7" s="20" t="str">
        <x:v>multiple original title groups merged</x:v>
      </x:c>
      <x:c r="F7" s="20" t="str">
        <x:v>1097285871 | 1098556119 | 1113986433 | 113088550X | 114815227X</x:v>
      </x:c>
      <x:c r="G7" s="21" t="str"/>
      <x:c r="H7" s="21" t="str"/>
    </x:row>
    <x:row r="8" ht="50" customHeight="1">
      <x:c r="A8" s="20" t="str">
        <x:v>flagged automatic keep outside capped queue</x:v>
      </x:c>
      <x:c r="B8" s="20" t="str">
        <x:v>Navid Kermani</x:v>
      </x:c>
      <x:c r="C8" s="20" t="str">
        <x:v>Über den Zufall</x:v>
      </x:c>
      <x:c r="D8" s="20" t="str">
        <x:v>AUTO_KEEP_FLAGGED_FOR_SPOT_CHECK</x:v>
      </x:c>
      <x:c r="E8" s="20" t="str">
        <x:v>multiple original title groups merged</x:v>
      </x:c>
      <x:c r="F8" s="20" t="str">
        <x:v>1022502271 | 1043982809</x:v>
      </x:c>
      <x:c r="G8" s="21" t="str"/>
      <x:c r="H8" s="21" t="str"/>
    </x:row>
    <x:row r="9" ht="50" customHeight="1">
      <x:c r="A9" s="20" t="str">
        <x:v>flagged automatic keep outside capped queue</x:v>
      </x:c>
      <x:c r="B9" s="20" t="str">
        <x:v>Shida Bazyar</x:v>
      </x:c>
      <x:c r="C9" s="20" t="str">
        <x:v>Drei Kameradinnen</x:v>
      </x:c>
      <x:c r="D9" s="20" t="str">
        <x:v>AUTO_KEEP_FLAGGED_FOR_SPOT_CHECK</x:v>
      </x:c>
      <x:c r="E9" s="20" t="str">
        <x:v>multiple original title groups merged</x:v>
      </x:c>
      <x:c r="F9" s="20" t="str">
        <x:v>1220308730 | 1220615927 | 1236108337 | 1255717203 | 1255717874 | 1264409540</x:v>
      </x:c>
      <x:c r="G9" s="21" t="str"/>
      <x:c r="H9" s="21" t="str"/>
    </x:row>
    <x:row r="10" ht="50" customHeight="1">
      <x:c r="A10" s="20" t="str">
        <x:v>auto-kept provisional work</x:v>
      </x:c>
      <x:c r="B10" s="20" t="str">
        <x:v>Behzad Karim Khani</x:v>
      </x:c>
      <x:c r="C10" s="20" t="str">
        <x:v>Hund, Wolf, Schakal</x:v>
      </x:c>
      <x:c r="D10" s="20" t="str">
        <x:v>AUTO_KEEP_PROVISIONAL</x:v>
      </x:c>
      <x:c r="E10" s="20" t="str">
        <x:v>Representative author-level check of an automated keep decision.</x:v>
      </x:c>
      <x:c r="F10" s="20" t="str">
        <x:v>1254070710 | 1263983855 | 1285998227</x:v>
      </x:c>
      <x:c r="G10" s="21" t="str"/>
      <x:c r="H10" s="21" t="str"/>
    </x:row>
    <x:row r="11" ht="50" customHeight="1">
      <x:c r="A11" s="20" t="str">
        <x:v>auto-kept provisional work</x:v>
      </x:c>
      <x:c r="B11" s="20" t="str">
        <x:v>Fahimeh Farsaie</x:v>
      </x:c>
      <x:c r="C11" s="20" t="str">
        <x:v>Nassrins öst-westliche Nacht</x:v>
      </x:c>
      <x:c r="D11" s="20" t="str">
        <x:v>AUTO_KEEP_PROVISIONAL</x:v>
      </x:c>
      <x:c r="E11" s="20" t="str">
        <x:v>Representative author-level check of an automated keep decision.</x:v>
      </x:c>
      <x:c r="F11" s="20" t="str">
        <x:v>1127004565</x:v>
      </x:c>
      <x:c r="G11" s="21" t="str"/>
      <x:c r="H11" s="21" t="str"/>
    </x:row>
    <x:row r="12" ht="50" customHeight="1">
      <x:c r="A12" s="20" t="str">
        <x:v>auto-kept provisional work</x:v>
      </x:c>
      <x:c r="B12" s="20" t="str">
        <x:v>Hengameh Yaghoobifarah</x:v>
      </x:c>
      <x:c r="C12" s="20" t="str">
        <x:v>Ich war auf der Fusion, und alles, was ich bekam, war ein blutiges Herz</x:v>
      </x:c>
      <x:c r="D12" s="20" t="str">
        <x:v>AUTO_KEEP_PROVISIONAL</x:v>
      </x:c>
      <x:c r="E12" s="20" t="str">
        <x:v>Representative author-level check of an automated keep decision.</x:v>
      </x:c>
      <x:c r="F12" s="20" t="str">
        <x:v>1156857996 | 1271262223</x:v>
      </x:c>
      <x:c r="G12" s="21" t="str"/>
      <x:c r="H12" s="21" t="str"/>
    </x:row>
    <x:row r="13" ht="50" customHeight="1">
      <x:c r="A13" s="20" t="str">
        <x:v>auto-kept provisional work</x:v>
      </x:c>
      <x:c r="B13" s="20" t="str">
        <x:v>Mehrnousch Zaeri-Esfahani</x:v>
      </x:c>
      <x:c r="C13" s="20" t="str">
        <x:v>33 Bogen und ein Teehaus</x:v>
      </x:c>
      <x:c r="D13" s="20" t="str">
        <x:v>AUTO_KEEP_PROVISIONAL</x:v>
      </x:c>
      <x:c r="E13" s="20" t="str">
        <x:v>Representative author-level check of an automated keep decision.</x:v>
      </x:c>
      <x:c r="F13" s="20" t="str">
        <x:v>1062501705 | 1082289566 | 1156404932</x:v>
      </x:c>
      <x:c r="G13" s="21" t="str"/>
      <x:c r="H13" s="21" t="str"/>
    </x:row>
    <x:row r="14" ht="50" customHeight="1">
      <x:c r="A14" s="20" t="str">
        <x:v>auto-kept provisional work</x:v>
      </x:c>
      <x:c r="B14" s="20" t="str">
        <x:v>Nassir Djafari</x:v>
      </x:c>
      <x:c r="C14" s="20" t="str">
        <x:v>Der Großcousin</x:v>
      </x:c>
      <x:c r="D14" s="20" t="str">
        <x:v>AUTO_KEEP_PROVISIONAL</x:v>
      </x:c>
      <x:c r="E14" s="20" t="str">
        <x:v>Representative author-level check of an automated keep decision.</x:v>
      </x:c>
      <x:c r="F14" s="20" t="str">
        <x:v>1322567840</x:v>
      </x:c>
      <x:c r="G14" s="21" t="str"/>
      <x:c r="H14" s="21" t="str"/>
    </x:row>
    <x:row r="15" ht="50" customHeight="1">
      <x:c r="A15" s="20" t="str">
        <x:v>auto-kept provisional work</x:v>
      </x:c>
      <x:c r="B15" s="20" t="str">
        <x:v>Navid Kermani</x:v>
      </x:c>
      <x:c r="C15" s="20" t="str">
        <x:v>Das Buch der von Neil Young Getöteten</x:v>
      </x:c>
      <x:c r="D15" s="20" t="str">
        <x:v>AUTO_KEEP_PROVISIONAL</x:v>
      </x:c>
      <x:c r="E15" s="20" t="str">
        <x:v>Representative author-level check of an automated keep decision.</x:v>
      </x:c>
      <x:c r="F15" s="20" t="str">
        <x:v>1034226401 | 965193144 | 971284814</x:v>
      </x:c>
      <x:c r="G15" s="21" t="str"/>
      <x:c r="H15" s="21" t="str"/>
    </x:row>
    <x:row r="16" ht="50" customHeight="1">
      <x:c r="A16" s="20" t="str">
        <x:v>auto-kept provisional work</x:v>
      </x:c>
      <x:c r="B16" s="20" t="str">
        <x:v>SAID</x:v>
      </x:c>
      <x:c r="C16" s="20" t="str">
        <x:v>Ar-Ar und Bobo</x:v>
      </x:c>
      <x:c r="D16" s="20" t="str">
        <x:v>AUTO_KEEP_PROVISIONAL</x:v>
      </x:c>
      <x:c r="E16" s="20" t="str">
        <x:v>Representative author-level check of an automated keep decision.</x:v>
      </x:c>
      <x:c r="F16" s="20" t="str">
        <x:v>124719454X</x:v>
      </x:c>
      <x:c r="G16" s="21" t="str"/>
      <x:c r="H16" s="21" t="str"/>
    </x:row>
    <x:row r="17" ht="50" customHeight="1">
      <x:c r="A17" s="20" t="str">
        <x:v>auto-kept provisional work</x:v>
      </x:c>
      <x:c r="B17" s="20" t="str">
        <x:v>Shida Bazyar</x:v>
      </x:c>
      <x:c r="C17" s="20" t="str">
        <x:v>Die Lücken</x:v>
      </x:c>
      <x:c r="D17" s="20" t="str">
        <x:v>AUTO_KEEP_PROVISIONAL</x:v>
      </x:c>
      <x:c r="E17" s="20" t="str">
        <x:v>Representative author-level check of an automated keep decision.</x:v>
      </x:c>
      <x:c r="F17" s="20" t="str">
        <x:v>1395506272 | 1418256048</x:v>
      </x:c>
      <x:c r="G17" s="21" t="str"/>
      <x:c r="H17" s="21" t="str"/>
    </x:row>
    <x:row r="18" ht="50" customHeight="1">
      <x:c r="A18" s="20" t="str">
        <x:v>auto-kept provisional work</x:v>
      </x:c>
      <x:c r="B18" s="20" t="str">
        <x:v>Sudabeh Mohafez</x:v>
      </x:c>
      <x:c r="C18" s="20" t="str">
        <x:v>Behalte den Flug im Gedächtnis</x:v>
      </x:c>
      <x:c r="D18" s="20" t="str">
        <x:v>AUTO_KEEP_PROVISIONAL</x:v>
      </x:c>
      <x:c r="E18" s="20" t="str">
        <x:v>Representative author-level check of an automated keep decision.</x:v>
      </x:c>
      <x:c r="F18" s="20" t="str">
        <x:v>1130667677</x:v>
      </x:c>
      <x:c r="G18" s="21" t="str"/>
      <x:c r="H18" s="21" t="str"/>
    </x:row>
    <x:row r="19" ht="50" customHeight="1">
      <x:c r="A19" s="20" t="str">
        <x:v>automatic exclusion</x:v>
      </x:c>
      <x:c r="B19" s="20" t="str">
        <x:v>Navid Kermani</x:v>
      </x:c>
      <x:c r="C19" s="20" t="str">
        <x:v>[Ausnahmezustand] ; Izvanredno stanje : putovanje u uznemireni svijet</x:v>
      </x:c>
      <x:c r="D19" s="20" t="str">
        <x:v>AUTO_EXCLUDE_NON_GERMAN</x:v>
      </x:c>
      <x:c r="E19" s="20" t="str">
        <x:v>All records are non-German publications.</x:v>
      </x:c>
      <x:c r="F19" s="20" t="str">
        <x:v>1220382167</x:v>
      </x:c>
      <x:c r="G19" s="21" t="str"/>
      <x:c r="H19" s="21" t="str"/>
    </x:row>
    <x:row r="20" ht="50" customHeight="1">
      <x:c r="A20" s="20" t="str">
        <x:v>automatic exclusion</x:v>
      </x:c>
      <x:c r="B20" s="20" t="str">
        <x:v>Navid Kermani</x:v>
      </x:c>
      <x:c r="C20" s="20" t="str">
        <x:v>[Ausnahmezustand] ; Jin ji zhuang tai : shi ge chong tu zhi di, Yin Ba di qu, a la bo shi jie, Ou zhou bian jing de sheng huo ri chang = Ausnahmezustand : Reisen in eine beunruhigte Welt</x:v>
      </x:c>
      <x:c r="D20" s="20" t="str">
        <x:v>AUTO_EXCLUDE_NON_GERMAN</x:v>
      </x:c>
      <x:c r="E20" s="20" t="str">
        <x:v>All records are non-German publications.</x:v>
      </x:c>
      <x:c r="F20" s="20" t="str">
        <x:v>1129470474</x:v>
      </x:c>
      <x:c r="G20" s="21" t="str"/>
      <x:c r="H20" s="21" t="str"/>
    </x:row>
    <x:row r="21" ht="50" customHeight="1">
      <x:c r="A21" s="20" t="str">
        <x:v>automatic exclusion</x:v>
      </x:c>
      <x:c r="B21" s="20" t="str">
        <x:v>Navid Kermani</x:v>
      </x:c>
      <x:c r="C21" s="20" t="str">
        <x:v>[Israel] ; Israel : eine Korrespondenz</x:v>
      </x:c>
      <x:c r="D21" s="20" t="str">
        <x:v>AUTO_EXCLUDE_NON_LITERARY</x:v>
      </x:c>
      <x:c r="E21" s="20" t="str">
        <x:v>German record(s), but no stated literary subject or genre signal.</x:v>
      </x:c>
      <x:c r="F21" s="20" t="str">
        <x:v>1308580282 | 1310311757</x:v>
      </x:c>
      <x:c r="G21" s="21" t="str"/>
      <x:c r="H21" s="21" t="str"/>
    </x:row>
    <x:row r="22" ht="50" customHeight="1">
      <x:c r="A22" s="20" t="str">
        <x:v>automatic exclusion</x:v>
      </x:c>
      <x:c r="B22" s="20" t="str">
        <x:v>Navid Kermani</x:v>
      </x:c>
      <x:c r="C22" s="20" t="str">
        <x:v>[Kermani] ; Entlang den Gräben : eine Reise durch das östliche Europa bis nach Isfahan</x:v>
      </x:c>
      <x:c r="D22" s="20" t="str">
        <x:v>AUTO_EXCLUDE_NON_LITERARY</x:v>
      </x:c>
      <x:c r="E22" s="20" t="str">
        <x:v>German record(s), but no stated literary subject or genre signal.</x:v>
      </x:c>
      <x:c r="F22" s="20" t="str">
        <x:v>1205980288</x:v>
      </x:c>
      <x:c r="G22" s="21" t="str"/>
      <x:c r="H22" s="21" t="str"/>
    </x:row>
    <x:row r="23" ht="50" customHeight="1">
      <x:c r="A23" s="20" t="str">
        <x:v>automatic exclusion</x:v>
      </x:c>
      <x:c r="B23" s="20" t="str">
        <x:v>Fahimeh Farsaie</x:v>
      </x:c>
      <x:c r="C23" s="20" t="str">
        <x:v>[Farsāyī] ; Die gläserne Heimat : Erzählungen</x:v>
      </x:c>
      <x:c r="D23" s="20" t="str">
        <x:v>AUTO_EXCLUDE_TRANSLATION</x:v>
      </x:c>
      <x:c r="E23" s="20" t="str">
        <x:v>German literary record(s) contain translator or non-German original-language evidence.</x:v>
      </x:c>
      <x:c r="F23" s="20" t="str">
        <x:v>1106898826</x:v>
      </x:c>
      <x:c r="G23" s="21" t="str"/>
      <x:c r="H23" s="21" t="str"/>
    </x:row>
    <x:row r="24" ht="50" customHeight="1">
      <x:c r="A24" s="20" t="str">
        <x:v>automatic exclusion</x:v>
      </x:c>
      <x:c r="B24" s="20" t="str">
        <x:v>Fahimeh Farsaie</x:v>
      </x:c>
      <x:c r="C24" s="20" t="str">
        <x:v>Die Flucht und andere Erzählungen</x:v>
      </x:c>
      <x:c r="D24" s="20" t="str">
        <x:v>AUTO_EXCLUDE_TRANSLATION</x:v>
      </x:c>
      <x:c r="E24" s="20" t="str">
        <x:v>German literary record(s) contain translator or non-German original-language evidence.</x:v>
      </x:c>
      <x:c r="F24" s="20" t="str">
        <x:v>930864816</x:v>
      </x:c>
      <x:c r="G24" s="21" t="str"/>
      <x:c r="H24" s="21" t="str"/>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Pr>
    <x:tabColor rgb="FFA5A5A5"/>
  </x:sheetPr>
  <x:sheetViews>
    <x:sheetView showGridLines="0" workbookViewId="0">
      <x:pane ySplit="4" topLeftCell="A5" activePane="bottomLeft" state="frozen"/>
    </x:sheetView>
  </x:sheetViews>
  <x:sheetFormatPr defaultRowHeight="15"/>
  <x:cols>
    <x:col min="1" max="1" width="30" hidden="0" customWidth="1"/>
    <x:col min="2" max="2" width="105" hidden="0" customWidth="1"/>
  </x:cols>
  <x:sheetData>
    <x:row r="1" ht="30" customHeight="1">
      <x:c r="A1" s="3" t="str">
        <x:v>Approved cleaning rules</x:v>
      </x:c>
      <x:c r="B1" s="3"/>
    </x:row>
    <x:row r="2" ht="44" customHeight="1">
      <x:c r="A2" s="7" t="str">
        <x:v>These rules were fixed before manual cleaning. They operationalize editions, translations, anthology contributions, original-language certainty and missing values.</x:v>
      </x:c>
      <x:c r="B2" s="7"/>
    </x:row>
    <x:row r="4" ht="42" customHeight="1">
      <x:c r="A4" s="17" t="str">
        <x:v>Rule</x:v>
      </x:c>
      <x:c r="B4" s="17" t="str">
        <x:v>Operational decision</x:v>
      </x:c>
    </x:row>
    <x:row r="5" ht="58" customHeight="1">
      <x:c r="A5" s="29" t="str">
        <x:v>Work unit</x:v>
      </x:c>
      <x:c r="B5" s="20" t="str">
        <x:v>One distinct literary work originally published in German, regardless of edition or format.</x:v>
      </x:c>
    </x:row>
    <x:row r="6" ht="58" customHeight="1">
      <x:c r="A6" s="27" t="str">
        <x:v>Edition / format rule</x:v>
      </x:c>
      <x:c r="B6" s="20" t="str">
        <x:v>Hardback, paperback, e-book and audiobook records are grouped with the same work; format counts remain visible.</x:v>
      </x:c>
    </x:row>
    <x:row r="7" ht="58" customHeight="1">
      <x:c r="A7" s="29" t="str">
        <x:v>Retitled work</x:v>
      </x:c>
      <x:c r="B7" s="20" t="str">
        <x:v>Substantially the same text under another title remains one work and the variant is recorded.</x:v>
      </x:c>
    </x:row>
    <x:row r="8" ht="58" customHeight="1">
      <x:c r="A8" s="27" t="str">
        <x:v>Substantially revised work</x:v>
      </x:c>
      <x:c r="B8" s="20" t="str">
        <x:v>A substantially revised or expanded text marketed or catalogued as a new work is separate; ambiguous cases enter the decision queue.</x:v>
      </x:c>
    </x:row>
    <x:row r="9" ht="58" customHeight="1">
      <x:c r="A9" s="29" t="str">
        <x:v>German-original evidence</x:v>
      </x:c>
      <x:c r="B9" s="20" t="str">
        <x:v>German MARC publication language plus no translator, no non-German original-language code and no source-language translation statement supports a provisional German-original classification.</x:v>
      </x:c>
    </x:row>
    <x:row r="10" ht="58" customHeight="1">
      <x:c r="A10" s="27" t="str">
        <x:v>Verified certainty</x:v>
      </x:c>
      <x:c r="B10" s="20" t="str">
        <x:v>A title-level publisher, author or appropriate bibliographic source can upgrade a provisional classification to verified.</x:v>
      </x:c>
    </x:row>
    <x:row r="11" ht="58" customHeight="1">
      <x:c r="A11" s="29" t="str">
        <x:v>Unclear certainty</x:v>
      </x:c>
      <x:c r="B11" s="20" t="str">
        <x:v>Conflicting or absent evidence stays unclear and remains outside the final German count until resolved.</x:v>
      </x:c>
    </x:row>
    <x:row r="12" ht="58" customHeight="1">
      <x:c r="A12" s="27" t="str">
        <x:v>Translations</x:v>
      </x:c>
      <x:c r="B12" s="20" t="str">
        <x:v>Translations remain in the raw data and stay outside the German-original count. Strong evidence is carried across German editions with the same author and normalized base title.</x:v>
      </x:c>
    </x:row>
    <x:row r="13" ht="58" customHeight="1">
      <x:c r="A13" s="29" t="str">
        <x:v>Multi-author unit</x:v>
      </x:c>
      <x:c r="B13" s="20" t="str">
        <x:v>Separate texts by different authors in one publication are recorded as contributions. One text written jointly is recorded as a co-authored work. Contributions are not counted as standalone authored books.</x:v>
      </x:c>
    </x:row>
    <x:row r="14" ht="58" customHeight="1">
      <x:c r="A14" s="27" t="str">
        <x:v>Publication year</x:v>
      </x:c>
      <x:c r="B14" s="20" t="str">
        <x:v>Earliest verified German DNB year; incomplete coverage of older first editions is a documented limitation.</x:v>
      </x:c>
    </x:row>
    <x:row r="15" ht="58" customHeight="1">
      <x:c r="A15" s="29" t="str">
        <x:v>Literary signal</x:v>
      </x:c>
      <x:c r="B15" s="20" t="str">
        <x:v>A record counts as literary when its DNB subjects contain B, 830, 59, 08a, K or 07, or its title contains one of the fixed genre terms: Roman, Gedicht/e, Erzählung/en, Prosa, Novelle/n, Theaterstück, Drama/Dramen, Märchen, Lyrik or Kurzgeschichten.</x:v>
      </x:c>
    </x:row>
    <x:row r="16" ht="58" customHeight="1">
      <x:c r="A16" s="27" t="str">
        <x:v>Non-literary groups</x:v>
      </x:c>
      <x:c r="B16" s="20" t="str">
        <x:v>German groups without the stated literary signal are automatically excluded but preserved in the classified-groups sheet.</x:v>
      </x:c>
    </x:row>
    <x:row r="17" ht="58" customHeight="1">
      <x:c r="A17" s="29" t="str">
        <x:v>Multi-author repair</x:v>
      </x:c>
      <x:c r="B17" s="20" t="str">
        <x:v>Only named Verfasser roles count toward multi-author status. Illustrators, translators, narrators, editors and afterword writers do not.</x:v>
      </x:c>
    </x:row>
    <x:row r="18" ht="58" customHeight="1">
      <x:c r="A18" s="27" t="str">
        <x:v>Manual workload</x:v>
      </x:c>
      <x:c r="B18" s="20" t="str">
        <x:v>The decision queue is capped at 30. Remaining automated decisions are visible in the full tables and representative spot-check sheet.</x:v>
      </x:c>
    </x:row>
    <x:row r="19" ht="58" customHeight="1">
      <x:c r="A19" s="29" t="str">
        <x:v>Missing values</x:v>
      </x:c>
      <x:c r="B19" s="20" t="str">
        <x:v>Missing never becomes zero. Blank means unavailable, not retrieved or not yet decided.</x:v>
      </x:c>
    </x:row>
    <x:row r="20" ht="78" customHeight="1">
      <x:c r="A20" s="62" t="str">
        <x:v>DNB Sachgruppe / DDC 890</x:v>
      </x:c>
      <x:c r="B20" s="63" t="str">
        <x:v>890 Literatur in anderen Sprachen is a review flag only. It is not proof of translation and is not sufficient literary evidence by itself. A retained 890 record still needs German MARC language, a separate approved literary signal, and no translator role, non-German original-language code or translation phrase. Certainty remains provisional unless a title-level source verifies it.</x:v>
      </x:c>
    </x:row>
    <x:row r="21" ht="78" customHeight="1">
      <x:c r="A21" s="62" t="str">
        <x:v>Shahrokhi evidence flag</x:v>
      </x:c>
      <x:c r="B21" s="64" t="str">
        <x:v>Her author-level inclusion depends on one work. Its DNB record passes the 890 review (German MARC language, B Belletristik, title term Roman, no translator role and no non-German original-language code), but the German-original classification remains provisional.</x:v>
      </x:c>
    </x:row>
  </x:sheetData>
  <x:mergeCells>
    <x:mergeCell ref="A1:B1"/>
    <x:mergeCell ref="A2:B2"/>
  </x:mergeCells>
  <x:pageMargins left="0.7" right="0.7" top="0.75" bottom="0.75" header="0.3" footer="0.3"/>
</x:worksheet>
</file>

<file path=xl/worksheets/sheet6.xml><?xml version="1.0" encoding="utf-8"?>
<x:worksheet xmlns:x="http://schemas.openxmlformats.org/spreadsheetml/2006/main">
  <x:sheetPr>
    <x:tabColor rgb="FF8064A2"/>
  </x:sheetPr>
  <x:sheetViews>
    <x:sheetView showGridLines="0" workbookViewId="0">
      <x:pane ySplit="4" topLeftCell="A5" activePane="bottomLeft" state="frozen"/>
    </x:sheetView>
  </x:sheetViews>
  <x:sheetFormatPr defaultRowHeight="15"/>
  <x:cols>
    <x:col min="1" max="1" width="10" hidden="0" customWidth="1"/>
    <x:col min="2" max="2" width="38" hidden="0" customWidth="1"/>
    <x:col min="3" max="3" width="95" hidden="0" customWidth="1"/>
  </x:cols>
  <x:sheetData>
    <x:row r="1" ht="30" customHeight="1">
      <x:c r="A1" s="3" t="str">
        <x:v>Cleaning change log</x:v>
      </x:c>
      <x:c r="B1" s="3"/>
      <x:c r="C1" s="3"/>
    </x:row>
    <x:row r="2" ht="44" customHeight="1">
      <x:c r="A2" s="7" t="str">
        <x:v>This records what changed between the blocked 278-row first pull and the capped cleaning queue. It is evidence for the later workflow section, not report prose.</x:v>
      </x:c>
      <x:c r="B2" s="7"/>
      <x:c r="C2" s="7"/>
    </x:row>
    <x:row r="4" ht="42" customHeight="1">
      <x:c r="A4" s="17" t="str">
        <x:v>Step</x:v>
      </x:c>
      <x:c r="B4" s="17" t="str">
        <x:v>Decision</x:v>
      </x:c>
      <x:c r="C4" s="17" t="str">
        <x:v>Result</x:v>
      </x:c>
    </x:row>
    <x:row r="5" ht="60" customHeight="1">
      <x:c r="A5" s="20" t="n">
        <x:v>1</x:v>
      </x:c>
      <x:c r="B5" s="20" t="str">
        <x:v>Preserve raw data</x:v>
      </x:c>
      <x:c r="C5" s="20" t="str">
        <x:v>442 OAI-DC records retained unchanged; 442 MARC records added as an enrichment layer.</x:v>
      </x:c>
    </x:row>
    <x:row r="6" ht="60" customHeight="1">
      <x:c r="A6" s="20" t="n">
        <x:v>2</x:v>
      </x:c>
      <x:c r="B6" s="20" t="str">
        <x:v>Repair preliminary authorship classifier</x:v>
      </x:c>
      <x:c r="C6" s="20" t="str">
        <x:v>Only named Verfasser roles count toward multi-author status; illustrators, translators, narrators and afterword writers do not.</x:v>
      </x:c>
    </x:row>
    <x:row r="7" ht="60" customHeight="1">
      <x:c r="A7" s="20" t="n">
        <x:v>3</x:v>
      </x:c>
      <x:c r="B7" s="20" t="str">
        <x:v>Apply language rule</x:v>
      </x:c>
      <x:c r="C7" s="20" t="str">
        <x:v>Non-German publication groups are auto-excluded from the German-work count but remain in raw data.</x:v>
      </x:c>
    </x:row>
    <x:row r="8" ht="60" customHeight="1">
      <x:c r="A8" s="20" t="n">
        <x:v>4</x:v>
      </x:c>
      <x:c r="B8" s="20" t="str">
        <x:v>Apply literary rule</x:v>
      </x:c>
      <x:c r="C8" s="20" t="str">
        <x:v>German groups without a stated DNB literary subject or explicit literary genre signal are auto-excluded.</x:v>
      </x:c>
    </x:row>
    <x:row r="9" ht="60" customHeight="1">
      <x:c r="A9" s="20" t="n">
        <x:v>5</x:v>
      </x:c>
      <x:c r="B9" s="20" t="str">
        <x:v>Apply original-language rule</x:v>
      </x:c>
      <x:c r="C9" s="20" t="str">
        <x:v>German records with translator, title-embedded translation, or non-German original-language evidence are excluded from the German-original count.</x:v>
      </x:c>
    </x:row>
    <x:row r="10" ht="60" customHeight="1">
      <x:c r="A10" s="20" t="n">
        <x:v>6</x:v>
      </x:c>
      <x:c r="B10" s="20" t="str">
        <x:v>Group editions and formats</x:v>
      </x:c>
      <x:c r="C10" s="20" t="str">
        <x:v>Eligible records are clustered by author and normalized main title; format counts remain visible.</x:v>
      </x:c>
    </x:row>
    <x:row r="11" ht="60" customHeight="1">
      <x:c r="A11" s="20" t="n">
        <x:v>7</x:v>
      </x:c>
      <x:c r="B11" s="20" t="str">
        <x:v>Cap manual work</x:v>
      </x:c>
      <x:c r="C11" s="20" t="str">
        <x:v>The manual decision queue is capped at 30; remaining automated decisions are exposed for spot-checking.</x:v>
      </x:c>
    </x:row>
    <x:row r="12">
      <x:c r="A12" t="n">
        <x:v>8</x:v>
      </x:c>
      <x:c r="B12" t="str">
        <x:v>Repair cross-edition translation gap</x:v>
      </x:c>
      <x:c r="C12" t="str">
        <x:v>Strong translation evidence is carried across German literary editions with the same author and normalized base title; automated retained records are checked for zero remaining translation evidence.</x:v>
      </x:c>
    </x:row>
    <x:row r="13" ht="60" customHeight="1">
      <x:c r="A13" s="20" t="n">
        <x:v>9</x:v>
      </x:c>
      <x:c r="B13" s="20" t="str">
        <x:v>Finalize Eines Dienstags edition merge</x:v>
      </x:c>
      <x:c r="C13" s="20" t="str">
        <x:v>Kept the 2006 Helmer and 2016 Dittrich records as one work with earliest year 2006. DNB gives the same title and subtitle and no substantial-revision statement. The publisher-page genre and pagination discrepancy remains documented.</x:v>
      </x:c>
    </x:row>
    <x:row r="14" ht="60" customHeight="1">
      <x:c r="A14" s="20" t="n">
        <x:v>10</x:v>
      </x:c>
      <x:c r="B14" s="20" t="str">
        <x:v>Build final retained-work layer</x:v>
      </x:c>
      <x:c r="C14" s="20" t="str">
        <x:v>Applied all 30 queue decisions, omitted EXCLUDE and NEEDS_SOURCE cases, expanded the Shirin split into two rows, and normalized provisional certainty to one wording.</x:v>
      </x:c>
    </x:row>
    <x:row r="15" ht="72" customHeight="1">
      <x:c r="A15" s="20" t="n">
        <x:v>11</x:v>
      </x:c>
      <x:c r="B15" s="20" t="str">
        <x:v>Rerun Nirumand with full literary signal</x:v>
      </x:c>
      <x:c r="C15" s="20" t="str">
        <x:v>A live GND-linked pull returned 40 records. Codes B, 830, 59, 08a, K and 07 plus the fixed title-genre list produced 0 hits, so the OUT decision is unchanged.</x:v>
      </x:c>
    </x:row>
    <x:row r="16" ht="72" customHeight="1">
      <x:c r="A16" s="20" t="n">
        <x:v>12</x:v>
      </x:c>
      <x:c r="B16" s="20" t="str">
        <x:v>Audit retained Sachgruppe 890 works</x:v>
      </x:c>
      <x:c r="C16" s="20" t="str">
        <x:v>Checked 4 retained works (5 DNB records). Each had German MARC language, a separate literary signal and no translator/original-language/translation-phrase evidence. 890 is now documented as a review flag only; Shahrokhi remains provisional and separately flagged.</x:v>
      </x:c>
    </x:row>
  </x:sheetData>
  <x:mergeCells>
    <x:mergeCell ref="A1:C1"/>
    <x:mergeCell ref="A2:C2"/>
  </x:mergeCells>
  <x:pageMargins left="0.7" right="0.7" top="0.75" bottom="0.75" header="0.3" footer="0.3"/>
</x:worksheet>
</file>

<file path=xl/worksheets/sheet7.xml><?xml version="1.0" encoding="utf-8"?>
<x:worksheet xmlns:x="http://schemas.openxmlformats.org/spreadsheetml/2006/main">
  <x:sheetPr>
    <x:tabColor rgb="FFC00000"/>
  </x:sheetPr>
  <x:sheetViews>
    <x:sheetView showGridLines="0" workbookViewId="0">
      <x:pane ySplit="4" topLeftCell="A5" activePane="bottomLeft" state="frozen"/>
    </x:sheetView>
  </x:sheetViews>
  <x:sheetFormatPr defaultRowHeight="15"/>
  <x:cols>
    <x:col min="1" max="1" width="14" hidden="0" customWidth="1"/>
    <x:col min="2" max="2" width="43" hidden="0" customWidth="1"/>
    <x:col min="3" max="3" width="24" hidden="0" customWidth="1"/>
    <x:col min="4" max="4" width="65" hidden="0" customWidth="1"/>
  </x:cols>
  <x:sheetData>
    <x:row r="1" ht="30" customHeight="1">
      <x:c r="A1" s="3" t="str">
        <x:v>Cleaning-queue quality checks</x:v>
      </x:c>
      <x:c r="B1" s="3"/>
      <x:c r="C1" s="3"/>
      <x:c r="D1" s="3"/>
    </x:row>
    <x:row r="2" ht="44" customHeight="1">
      <x:c r="A2" s="7" t="str">
        <x:v>These checks confirm that all source records remain preserved, all 278 groups were reclassified, and no record with detected translation evidence remains in the retained German-original set.</x:v>
      </x:c>
      <x:c r="B2" s="7"/>
      <x:c r="C2" s="7"/>
      <x:c r="D2" s="7"/>
    </x:row>
    <x:row r="4" ht="42" customHeight="1">
      <x:c r="A4" s="17" t="str">
        <x:v>Status</x:v>
      </x:c>
      <x:c r="B4" s="17" t="str">
        <x:v>Check</x:v>
      </x:c>
      <x:c r="C4" s="17" t="str">
        <x:v>Value</x:v>
      </x:c>
      <x:c r="D4" s="17" t="str">
        <x:v>Expected / rule</x:v>
      </x:c>
    </x:row>
    <x:row r="5" ht="44" customHeight="1">
      <x:c r="A5" s="38" t="str">
        <x:v>PASS</x:v>
      </x:c>
      <x:c r="B5" s="20" t="str">
        <x:v>raw_dnb_records_preserved</x:v>
      </x:c>
      <x:c r="C5" s="37" t="n">
        <x:v>442</x:v>
      </x:c>
      <x:c r="D5" s="20" t="str">
        <x:v>442</x:v>
      </x:c>
    </x:row>
    <x:row r="6" ht="44" customHeight="1">
      <x:c r="A6" s="38" t="str">
        <x:v>PASS</x:v>
      </x:c>
      <x:c r="B6" s="20" t="str">
        <x:v>marc_records_matched</x:v>
      </x:c>
      <x:c r="C6" s="37" t="n">
        <x:v>442</x:v>
      </x:c>
      <x:c r="D6" s="20" t="str">
        <x:v>442</x:v>
      </x:c>
    </x:row>
    <x:row r="7" ht="44" customHeight="1">
      <x:c r="A7" s="38" t="str">
        <x:v>PASS</x:v>
      </x:c>
      <x:c r="B7" s="20" t="str">
        <x:v>original_candidate_groups_classified</x:v>
      </x:c>
      <x:c r="C7" s="37" t="n">
        <x:v>278</x:v>
      </x:c>
      <x:c r="D7" s="20" t="str">
        <x:v>278</x:v>
      </x:c>
    </x:row>
    <x:row r="8" ht="44" customHeight="1">
      <x:c r="A8" s="38" t="str">
        <x:v>PASS</x:v>
      </x:c>
      <x:c r="B8" s="20" t="str">
        <x:v>manual_decision_queue_rows</x:v>
      </x:c>
      <x:c r="C8" s="37" t="n">
        <x:v>30</x:v>
      </x:c>
      <x:c r="D8" s="20" t="str">
        <x:v>at most 30</x:v>
      </x:c>
    </x:row>
    <x:row r="9" ht="44" customHeight="1">
      <x:c r="A9" s="39" t="str">
        <x:v>INFO</x:v>
      </x:c>
      <x:c r="B9" s="20" t="str">
        <x:v>provisional_work_clusters</x:v>
      </x:c>
      <x:c r="C9" s="37" t="n">
        <x:v>120</x:v>
      </x:c>
      <x:c r="D9" s="20" t="str">
        <x:v>descriptive; not a final work count</x:v>
      </x:c>
    </x:row>
    <x:row r="10" ht="44" customHeight="1">
      <x:c r="A10" s="39" t="str">
        <x:v>INFO</x:v>
      </x:c>
      <x:c r="B10" s="20" t="str">
        <x:v>auto_kept_work_clusters</x:v>
      </x:c>
      <x:c r="C10" s="37" t="n">
        <x:v>87</x:v>
      </x:c>
      <x:c r="D10" s="20" t="str">
        <x:v>available for spot-checking</x:v>
      </x:c>
    </x:row>
    <x:row r="11" ht="44" customHeight="1">
      <x:c r="A11" s="39" t="str">
        <x:v>INFO</x:v>
      </x:c>
      <x:c r="B11" s="20" t="str">
        <x:v>flagged_work_clusters_outside_queue</x:v>
      </x:c>
      <x:c r="C11" s="37" t="n">
        <x:v>5</x:v>
      </x:c>
      <x:c r="D11" s="20" t="str">
        <x:v>listed, not silently discarded</x:v>
      </x:c>
    </x:row>
    <x:row r="12" ht="44" customHeight="1">
      <x:c r="A12" s="39" t="str">
        <x:v>INFO</x:v>
      </x:c>
      <x:c r="B12" s="20" t="str">
        <x:v>auto_excluded_non_german_groups</x:v>
      </x:c>
      <x:c r="C12" s="37" t="n">
        <x:v>63</x:v>
      </x:c>
      <x:c r="D12" s="20" t="str">
        <x:v>translations remain in raw data</x:v>
      </x:c>
    </x:row>
    <x:row r="13" ht="44" customHeight="1">
      <x:c r="A13" s="39" t="str">
        <x:v>INFO</x:v>
      </x:c>
      <x:c r="B13" s="20" t="str">
        <x:v>auto_excluded_non_literary_groups</x:v>
      </x:c>
      <x:c r="C13" s="37" t="n">
        <x:v>63</x:v>
      </x:c>
      <x:c r="D13" s="20" t="str">
        <x:v>based on documented subject/genre rule</x:v>
      </x:c>
    </x:row>
    <x:row r="14" ht="44" customHeight="1">
      <x:c r="A14" s="39" t="str">
        <x:v>INFO</x:v>
      </x:c>
      <x:c r="B14" s="20" t="str">
        <x:v>auto_excluded_translation_groups</x:v>
      </x:c>
      <x:c r="C14" s="37" t="n">
        <x:v>7</x:v>
      </x:c>
      <x:c r="D14" s="20" t="str">
        <x:v>translator/original-language evidence</x:v>
      </x:c>
    </x:row>
    <x:row r="15" ht="44" customHeight="1">
      <x:c r="A15" s="39" t="str">
        <x:v>INFO</x:v>
      </x:c>
      <x:c r="B15" s="20" t="str">
        <x:v>title_embedded_translation_records</x:v>
      </x:c>
      <x:c r="C15" s="37" t="n">
        <x:v>5</x:v>
      </x:c>
      <x:c r="D15" s="20" t="str">
        <x:v>explicit translation statement in the DNB title field</x:v>
      </x:c>
    </x:row>
    <x:row r="16" ht="44" customHeight="1">
      <x:c r="A16" s="39" t="str">
        <x:v>INFO</x:v>
      </x:c>
      <x:c r="B16" s="20" t="str">
        <x:v>cross_edition_translation_carryovers</x:v>
      </x:c>
      <x:c r="C16" s="37" t="n">
        <x:v>1</x:v>
      </x:c>
      <x:c r="D16" s="20" t="str">
        <x:v>same author and normalized German title as a strongly evidenced translation</x:v>
      </x:c>
    </x:row>
    <x:row r="17" ht="44" customHeight="1">
      <x:c r="A17" s="38" t="str">
        <x:v>PASS</x:v>
      </x:c>
      <x:c r="B17" s="20" t="str">
        <x:v>translation_evidence_in_retained_records</x:v>
      </x:c>
      <x:c r="C17" s="37" t="n">
        <x:v>0</x:v>
      </x:c>
      <x:c r="D17" s="20" t="str">
        <x:v>0</x:v>
      </x:c>
    </x:row>
    <x:row r="18" ht="44" customHeight="1">
      <x:c r="A18" s="39" t="str">
        <x:v>INFO</x:v>
      </x:c>
      <x:c r="B18" s="20" t="str">
        <x:v>unresolved_language_groups_outside_queue</x:v>
      </x:c>
      <x:c r="C18" s="37" t="n">
        <x:v>0</x:v>
      </x:c>
      <x:c r="D18" s="20" t="str">
        <x:v>must remain outside final German count</x:v>
      </x:c>
    </x:row>
    <x:row r="19" ht="44" customHeight="1">
      <x:c r="A19" s="39" t="str">
        <x:v>INFO</x:v>
      </x:c>
      <x:c r="B19" s="20" t="str">
        <x:v>spot_check_rows</x:v>
      </x:c>
      <x:c r="C19" s="37" t="n">
        <x:v>20</x:v>
      </x:c>
      <x:c r="D19" s="20" t="str">
        <x:v>representative, not full manual review</x:v>
      </x:c>
    </x:row>
    <x:row r="20" ht="44" customHeight="1">
      <x:c r="A20" s="38" t="str">
        <x:v>PASS</x:v>
      </x:c>
      <x:c r="B20" s="20" t="str">
        <x:v>queue_cap_respected</x:v>
      </x:c>
      <x:c r="C20" s="37" t="n">
        <x:v>1</x:v>
      </x:c>
      <x:c r="D20" s="20" t="str">
        <x:v>1</x:v>
      </x:c>
    </x:row>
    <x:row r="21" ht="44" customHeight="1">
      <x:c r="A21" s="39" t="str">
        <x:v>INFO</x:v>
      </x:c>
      <x:c r="B21" s="20" t="str">
        <x:v>generated_at_utc</x:v>
      </x:c>
      <x:c r="C21" s="25" t="n">
        <x:v>46290.924479166664</x:v>
      </x:c>
      <x:c r="D21" s="20" t="str">
        <x:v>retrieval and processing timestamp</x:v>
      </x:c>
    </x:row>
    <x:row r="22">
      <x:c r="A22"/>
      <x:c r="B22"/>
      <x:c r="C22"/>
      <x:c r="D22"/>
    </x:row>
    <x:row r="23">
      <x:c r="A23"/>
      <x:c r="B23"/>
      <x:c r="C23"/>
      <x:c r="D23"/>
    </x:row>
    <x:row r="24">
      <x:c r="A24"/>
      <x:c r="B24"/>
      <x:c r="C24"/>
      <x:c r="D24"/>
    </x:row>
    <x:row r="25">
      <x:c r="A25"/>
      <x:c r="B25"/>
      <x:c r="C25"/>
      <x:c r="D25"/>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Pr>
    <x:tabColor rgb="FF00A6A6"/>
  </x:sheetPr>
  <x:sheetViews>
    <x:sheetView showGridLines="0" workbookViewId="0">
      <x:pane xSplit="3" ySplit="29" topLeftCell="D30" activePane="bottomRight" state="frozen"/>
    </x:sheetView>
  </x:sheetViews>
  <x:sheetFormatPr defaultRowHeight="15"/>
  <x:cols>
    <x:col min="1" max="1" width="29" hidden="0" customWidth="1"/>
    <x:col min="2" max="2" width="24" hidden="0" customWidth="1"/>
    <x:col min="3" max="3" width="38" hidden="0" customWidth="1"/>
    <x:col min="4" max="4" width="17" hidden="0" customWidth="1"/>
    <x:col min="5" max="5" width="17" hidden="0" customWidth="1"/>
    <x:col min="6" max="6" width="17" hidden="0" customWidth="1"/>
    <x:col min="7" max="7" width="31" hidden="0" customWidth="1"/>
    <x:col min="8" max="8" width="31" hidden="0" customWidth="1"/>
    <x:col min="9" max="9" width="31" hidden="0" customWidth="1"/>
    <x:col min="10" max="10" width="38" hidden="0" customWidth="1"/>
    <x:col min="11" max="11" width="15" hidden="0" customWidth="1"/>
    <x:col min="12" max="12" width="15" hidden="0" customWidth="1"/>
    <x:col min="13" max="13" width="15" hidden="0" customWidth="1"/>
    <x:col min="14" max="14" width="15"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s>
  <x:sheetData>
    <x:row r="1" ht="30" customHeight="1">
      <x:c r="A1" s="44" t="str">
        <x:v>Final German-original works</x:v>
      </x:c>
      <x:c r="B1" s="44"/>
      <x:c r="C1" s="44"/>
      <x:c r="D1" s="44"/>
      <x:c r="E1" s="44"/>
      <x:c r="F1" s="44"/>
      <x:c r="G1" s="44"/>
      <x:c r="H1" s="44"/>
      <x:c r="I1" s="44"/>
      <x:c r="J1" s="44"/>
      <x:c r="K1" s="44"/>
      <x:c r="L1" s="44"/>
      <x:c r="M1" s="44"/>
      <x:c r="N1" s="44"/>
      <x:c r="O1" s="44"/>
      <x:c r="P1" s="44"/>
      <x:c r="Q1" s="44"/>
      <x:c r="R1" s="44"/>
      <x:c r="S1" s="44"/>
      <x:c r="T1" s="44"/>
    </x:row>
    <x:row r="2" ht="44" customHeight="1">
      <x:c r="A2" s="48" t="str">
        <x:v>One row is one retained German-original literary work after applying all 30 queue decisions. EXCLUDE and NEEDS_SOURCE cases are omitted, Shirin is split into two versions, and every provisional certainty label uses the same wording.</x:v>
      </x:c>
      <x:c r="B2" s="48"/>
      <x:c r="C2" s="48"/>
      <x:c r="D2" s="48"/>
      <x:c r="E2" s="48"/>
      <x:c r="F2" s="48"/>
      <x:c r="G2" s="48"/>
      <x:c r="H2" s="48"/>
      <x:c r="I2" s="48"/>
      <x:c r="J2" s="48"/>
      <x:c r="K2" s="48"/>
      <x:c r="L2" s="48"/>
      <x:c r="M2" s="48"/>
      <x:c r="N2" s="48"/>
      <x:c r="O2" s="48"/>
      <x:c r="P2" s="48"/>
      <x:c r="Q2" s="48"/>
      <x:c r="R2" s="48"/>
      <x:c r="S2" s="48"/>
      <x:c r="T2" s="48"/>
    </x:row>
    <x:row r="4">
      <x:c r="A4" s="51" t="str">
        <x:v>Author</x:v>
      </x:c>
      <x:c r="B4" s="51" t="str">
        <x:v>Final German-original works</x:v>
      </x:c>
      <x:c r="D4" s="50" t="str">
        <x:v>Check</x:v>
      </x:c>
      <x:c r="E4" s="50" t="str">
        <x:v>Value</x:v>
      </x:c>
      <x:c r="F4" s="50" t="str">
        <x:v>Expected</x:v>
      </x:c>
    </x:row>
    <x:row r="5">
      <x:c r="A5" s="20" t="str">
        <x:v>Amir Gudarzi</x:v>
      </x:c>
      <x:c r="B5" s="20" t="n">
        <x:f>COUNTIF($B$30:$B$148,A5)</x:f>
        <x:v>1</x:v>
      </x:c>
      <x:c r="D5" s="20" t="str">
        <x:v>Completed queue decisions</x:v>
      </x:c>
      <x:c r="E5" s="20" t="n">
        <x:f>COUNTA('Decision queue'!O8:O37)</x:f>
        <x:v>30</x:v>
      </x:c>
      <x:c r="F5" s="20" t="n">
        <x:v>30</x:v>
      </x:c>
    </x:row>
    <x:row r="6">
      <x:c r="A6" s="20" t="str">
        <x:v>Asal Dardan</x:v>
      </x:c>
      <x:c r="B6" s="20" t="n">
        <x:f>COUNTIF($B$30:$B$148,A6)</x:f>
        <x:v>1</x:v>
      </x:c>
      <x:c r="D6" s="20" t="str">
        <x:v>Work-cluster decisions</x:v>
      </x:c>
      <x:c r="E6" s="20" t="n">
        <x:f>COUNTIF('Decision queue'!B8:B37,"provisional work cluster")</x:f>
        <x:v>28</x:v>
      </x:c>
      <x:c r="F6" s="20" t="n">
        <x:v>28</x:v>
      </x:c>
    </x:row>
    <x:row r="7">
      <x:c r="A7" s="20" t="str">
        <x:v>Behzad Karim Khani</x:v>
      </x:c>
      <x:c r="B7" s="20" t="n">
        <x:f>COUNTIF($B$30:$B$148,A7)</x:f>
        <x:v>2</x:v>
      </x:c>
      <x:c r="D7" s="20" t="str">
        <x:v>Original-group decisions</x:v>
      </x:c>
      <x:c r="E7" s="20" t="n">
        <x:f>COUNTIF('Decision queue'!B8:B37,"original title group")</x:f>
        <x:v>2</x:v>
      </x:c>
      <x:c r="F7" s="20" t="n">
        <x:v>2</x:v>
      </x:c>
    </x:row>
    <x:row r="8">
      <x:c r="A8" s="20" t="str">
        <x:v>Cyrus Atabay</x:v>
      </x:c>
      <x:c r="B8" s="20" t="n">
        <x:f>COUNTIF($B$30:$B$148,A8)</x:f>
        <x:v>16</x:v>
      </x:c>
      <x:c r="D8" s="20" t="str">
        <x:v>Final work rows</x:v>
      </x:c>
      <x:c r="E8" s="20" t="n">
        <x:f>COUNTA(A30:A148)</x:f>
        <x:v>119</x:v>
      </x:c>
      <x:c r="F8" s="20" t="n">
        <x:v>119</x:v>
      </x:c>
    </x:row>
    <x:row r="9">
      <x:c r="A9" s="20" t="str">
        <x:v>Fahimeh Farsaie</x:v>
      </x:c>
      <x:c r="B9" s="20" t="n">
        <x:f>COUNTIF($B$30:$B$148,A9)</x:f>
        <x:v>2</x:v>
      </x:c>
      <x:c r="D9" s="20" t="str">
        <x:v>Final authors</x:v>
      </x:c>
      <x:c r="E9" s="20" t="n">
        <x:f>COUNTA(A5:A22)</x:f>
        <x:v>18</x:v>
      </x:c>
      <x:c r="F9" s="20" t="n">
        <x:v>18</x:v>
      </x:c>
    </x:row>
    <x:row r="10">
      <x:c r="A10" s="20" t="str">
        <x:v>Hengameh Yaghoobifarah</x:v>
      </x:c>
      <x:c r="B10" s="20" t="n">
        <x:f>COUNTIF($B$30:$B$148,A10)</x:f>
        <x:v>3</x:v>
      </x:c>
      <x:c r="D10" s="20" t="str">
        <x:v>Farsaie final works</x:v>
      </x:c>
      <x:c r="E10" s="20" t="n">
        <x:f>COUNTIF(B30:B148,"Fahimeh Farsaie")</x:f>
        <x:v>2</x:v>
      </x:c>
      <x:c r="F10" s="20" t="n">
        <x:v>2</x:v>
      </x:c>
    </x:row>
    <x:row r="11">
      <x:c r="A11" s="20" t="str">
        <x:v>May Atashkar</x:v>
      </x:c>
      <x:c r="B11" s="20" t="n">
        <x:f>COUNTIF($B$30:$B$148,A11)</x:f>
        <x:v>1</x:v>
      </x:c>
    </x:row>
    <x:row r="12">
      <x:c r="A12" s="20" t="str">
        <x:v>Mehrnousch Zaeri-Esfahani</x:v>
      </x:c>
      <x:c r="B12" s="20" t="n">
        <x:f>COUNTIF($B$30:$B$148,A12)</x:f>
        <x:v>6</x:v>
      </x:c>
      <x:c r="D12" s="57" t="str">
        <x:v>Provisional certainty wording: provisional German-original</x:v>
      </x:c>
      <x:c r="E12" s="57"/>
      <x:c r="F12" s="57"/>
    </x:row>
    <x:row r="13">
      <x:c r="A13" s="20" t="str">
        <x:v>Nasrin Siege</x:v>
      </x:c>
      <x:c r="B13" s="20" t="n">
        <x:f>COUNTIF($B$30:$B$148,A13)</x:f>
        <x:v>21</x:v>
      </x:c>
    </x:row>
    <x:row r="14">
      <x:c r="A14" s="20" t="str">
        <x:v>Nassir Djafari</x:v>
      </x:c>
      <x:c r="B14" s="20" t="n">
        <x:f>COUNTIF($B$30:$B$148,A14)</x:f>
        <x:v>4</x:v>
      </x:c>
    </x:row>
    <x:row r="15">
      <x:c r="A15" s="20" t="str">
        <x:v>Nava Ebrahimi</x:v>
      </x:c>
      <x:c r="B15" s="20" t="n">
        <x:f>COUNTIF($B$30:$B$148,A15)</x:f>
        <x:v>5</x:v>
      </x:c>
    </x:row>
    <x:row r="16">
      <x:c r="A16" s="20" t="str">
        <x:v>Navid Kermani</x:v>
      </x:c>
      <x:c r="B16" s="20" t="n">
        <x:f>COUNTIF($B$30:$B$148,A16)</x:f>
        <x:v>18</x:v>
      </x:c>
    </x:row>
    <x:row r="17">
      <x:c r="A17" s="20" t="str">
        <x:v>Noshin Shahrokhi</x:v>
      </x:c>
      <x:c r="B17" s="20" t="n">
        <x:f>COUNTIF($B$30:$B$148,A17)</x:f>
        <x:v>1</x:v>
      </x:c>
    </x:row>
    <x:row r="18">
      <x:c r="A18" s="20" t="str">
        <x:v>SAID</x:v>
      </x:c>
      <x:c r="B18" s="20" t="n">
        <x:f>COUNTIF($B$30:$B$148,A18)</x:f>
        <x:v>23</x:v>
      </x:c>
    </x:row>
    <x:row r="19">
      <x:c r="A19" s="20" t="str">
        <x:v>Shani Katayun</x:v>
      </x:c>
      <x:c r="B19" s="20" t="n">
        <x:f>COUNTIF($B$30:$B$148,A19)</x:f>
        <x:v>1</x:v>
      </x:c>
    </x:row>
    <x:row r="20">
      <x:c r="A20" s="20" t="str">
        <x:v>Shida Bazyar</x:v>
      </x:c>
      <x:c r="B20" s="20" t="n">
        <x:f>COUNTIF($B$30:$B$148,A20)</x:f>
        <x:v>4</x:v>
      </x:c>
    </x:row>
    <x:row r="21">
      <x:c r="A21" s="20" t="str">
        <x:v>Shirin Kumm</x:v>
      </x:c>
      <x:c r="B21" s="20" t="n">
        <x:f>COUNTIF($B$30:$B$148,A21)</x:f>
        <x:v>2</x:v>
      </x:c>
    </x:row>
    <x:row r="22">
      <x:c r="A22" s="20" t="str">
        <x:v>Sudabeh Mohafez</x:v>
      </x:c>
      <x:c r="B22" s="20" t="n">
        <x:f>COUNTIF($B$30:$B$148,A22)</x:f>
        <x:v>8</x:v>
      </x:c>
    </x:row>
    <x:row r="23">
      <x:c r="A23" s="53" t="str">
        <x:v>Total</x:v>
      </x:c>
      <x:c r="B23" s="53" t="n">
        <x:f>SUM(B5:B22)</x:f>
        <x:v>119</x:v>
      </x:c>
    </x:row>
    <x:row r="29" ht="72" customHeight="1">
      <x:c r="A29" s="58" t="str">
        <x:v>Final work ID</x:v>
      </x:c>
      <x:c r="B29" s="58" t="str">
        <x:v>Author</x:v>
      </x:c>
      <x:c r="C29" s="58" t="str">
        <x:v>Final title</x:v>
      </x:c>
      <x:c r="D29" s="58" t="str">
        <x:v>Earliest year</x:v>
      </x:c>
      <x:c r="E29" s="58" t="str">
        <x:v>Latest year</x:v>
      </x:c>
      <x:c r="F29" s="58" t="str">
        <x:v>Final unit type</x:v>
      </x:c>
      <x:c r="G29" s="58" t="str">
        <x:v>Original-language certainty</x:v>
      </x:c>
      <x:c r="H29" s="58" t="str">
        <x:v>Decision basis</x:v>
      </x:c>
      <x:c r="I29" s="58" t="str">
        <x:v>Decision note</x:v>
      </x:c>
      <x:c r="J29" s="58" t="str">
        <x:v>Title variants</x:v>
      </x:c>
      <x:c r="K29" s="58" t="str">
        <x:v>Eligible DNB records</x:v>
      </x:c>
      <x:c r="L29" s="58" t="str">
        <x:v>Print records</x:v>
      </x:c>
      <x:c r="M29" s="58" t="str">
        <x:v>E-book records</x:v>
      </x:c>
      <x:c r="N29" s="58" t="str">
        <x:v>Audiobook records</x:v>
      </x:c>
      <x:c r="O29" s="58" t="str">
        <x:v>Source candidate IDs</x:v>
      </x:c>
      <x:c r="P29" s="58" t="str">
        <x:v>DNB IDNs</x:v>
      </x:c>
      <x:c r="Q29" s="58" t="str">
        <x:v>DNB subjects</x:v>
      </x:c>
      <x:c r="R29" s="58" t="str">
        <x:v>Edition statements</x:v>
      </x:c>
      <x:c r="S29" s="58" t="str">
        <x:v>Title-level support</x:v>
      </x:c>
      <x:c r="T29" s="58" t="str">
        <x:v>DNB retrieval UTC</x:v>
      </x:c>
    </x:row>
    <x:row r="30" ht="54" customHeight="1">
      <x:c r="A30" s="20" t="str">
        <x:v>work-390f6d2a53a8</x:v>
      </x:c>
      <x:c r="B30" s="20" t="str">
        <x:v>Amir Gudarzi</x:v>
      </x:c>
      <x:c r="C30" s="20" t="str">
        <x:v>Das Ende ist nah</x:v>
      </x:c>
      <x:c r="D30" s="20" t="n">
        <x:v>2023</x:v>
      </x:c>
      <x:c r="E30" s="20" t="n">
        <x:v>2023</x:v>
      </x:c>
      <x:c r="F30" s="20" t="str">
        <x:v>standalone work</x:v>
      </x:c>
      <x:c r="G30" s="59" t="str">
        <x:v>verified German-original</x:v>
      </x:c>
      <x:c r="H30" s="52" t="str">
        <x:v>Queue: KEEP_ONE</x:v>
      </x:c>
      <x:c r="I30" s="20" t="str">
        <x:v>Both records are the same novel by Amir Gudarzi, published by dtv in 2023. One is a printed book and the other is an EPUB, so I counted them as one work.</x:v>
      </x:c>
      <x:c r="J30" s="20" t="str">
        <x:v>Das Ende ist nah : Roman | Das Ende ist nah : Roman | »Seine Haut kann er nicht retten, aber eine Hoffnung und seine Geschichte.« Julia Franck</x:v>
      </x:c>
      <x:c r="K30" s="20" t="n">
        <x:v>2</x:v>
      </x:c>
      <x:c r="L30" s="20" t="n">
        <x:v>1</x:v>
      </x:c>
      <x:c r="M30" s="20" t="n">
        <x:v>1</x:v>
      </x:c>
      <x:c r="N30" s="20" t="n">
        <x:v>0</x:v>
      </x:c>
      <x:c r="O30" s="20" t="str">
        <x:v>amir-gudarzi-29a8792233 | amir-gudarzi-b1637201a9</x:v>
      </x:c>
      <x:c r="P30" s="20" t="str">
        <x:v>1255396741 | 1299652808</x:v>
      </x:c>
      <x:c r="Q30" s="20" t="str">
        <x:v>830 Deutsche Literatur | B Belletristik</x:v>
      </x:c>
      <x:c r="R30" s="20" t="str">
        <x:v>1. Auflage</x:v>
      </x:c>
      <x:c r="S30" s="20" t="str">
        <x:v>publisher biography</x:v>
      </x:c>
      <x:c r="T30" s="25" t="n">
        <x:v>46287.72917824074</x:v>
      </x:c>
    </x:row>
    <x:row r="31" ht="54" customHeight="1">
      <x:c r="A31" s="20" t="str">
        <x:v>work-c28573ba7b67</x:v>
      </x:c>
      <x:c r="B31" s="20" t="str">
        <x:v>Asal Dardan</x:v>
      </x:c>
      <x:c r="C31" s="20" t="str">
        <x:v>Digitale Heimat (in: Global &amp; beta)</x:v>
      </x:c>
      <x:c r="D31" s="20" t="n">
        <x:v>2016</x:v>
      </x:c>
      <x:c r="E31" s="20" t="n">
        <x:v>2016</x:v>
      </x:c>
      <x:c r="F31" s="20" t="str">
        <x:v>anthology contribution</x:v>
      </x:c>
      <x:c r="G31" s="60" t="str">
        <x:v>provisional German-original</x:v>
      </x:c>
      <x:c r="H31" s="52" t="str">
        <x:v>Queue: KEEP_ONE</x:v>
      </x:c>
      <x:c r="I31" s="20" t="str">
        <x:v>DNB lists Dardan as one of several authors. The mikrotext PDF confirms that her contribution is ‘Digitale Heimat’, so I counted her contribution and not the whole anthology.</x:v>
      </x:c>
      <x:c r="J31" s="20" t="str">
        <x:v>Global &amp; beta : E-Book Code Berlin. Anthologie</x:v>
      </x:c>
      <x:c r="K31" s="20" t="n">
        <x:v>1</x:v>
      </x:c>
      <x:c r="L31" s="20" t="n">
        <x:v>0</x:v>
      </x:c>
      <x:c r="M31" s="20" t="n">
        <x:v>1</x:v>
      </x:c>
      <x:c r="N31" s="20" t="n">
        <x:v>0</x:v>
      </x:c>
      <x:c r="O31" s="20" t="str">
        <x:v>asal-dardan-e89d86099b</x:v>
      </x:c>
      <x:c r="P31" s="20" t="str">
        <x:v>1129227847</x:v>
      </x:c>
      <x:c r="Q31" s="20" t="str">
        <x:v>830 Deutsche Literatur | B Belletristik</x:v>
      </x:c>
      <x:c r="R31" s="20" t="str">
        <x:v>1. Auflage</x:v>
      </x:c>
      <x:c r="S31" s="20" t="str"/>
      <x:c r="T31" s="25" t="n">
        <x:v>46287.72917824074</x:v>
      </x:c>
    </x:row>
    <x:row r="32" ht="54" customHeight="1">
      <x:c r="A32" s="20" t="str">
        <x:v>work-006e63c34567</x:v>
      </x:c>
      <x:c r="B32" s="20" t="str">
        <x:v>Behzad Karim Khani</x:v>
      </x:c>
      <x:c r="C32" s="20" t="str">
        <x:v>Als wir Schwäne waren</x:v>
      </x:c>
      <x:c r="D32" s="20" t="n">
        <x:v>2024</x:v>
      </x:c>
      <x:c r="E32" s="20" t="n">
        <x:v>2026</x:v>
      </x:c>
      <x:c r="F32" s="20" t="str">
        <x:v>standalone work</x:v>
      </x:c>
      <x:c r="G32" s="60" t="str">
        <x:v>provisional German-original</x:v>
      </x:c>
      <x:c r="H32" s="52" t="str">
        <x:v>Queue: KEEP_ONE</x:v>
      </x:c>
      <x:c r="I32" s="20" t="str">
        <x:v>The 2024 records are the print and e-book versions. The 2026 record is the paperback edition of the same novel, so I counted one work.</x:v>
      </x:c>
      <x:c r="J32" s="20" t="str">
        <x:v>Als wir Schwäne waren : Roman | [Karim Khani] ; Als wir Schwäne waren : Roman</x:v>
      </x:c>
      <x:c r="K32" s="20" t="n">
        <x:v>3</x:v>
      </x:c>
      <x:c r="L32" s="20" t="n">
        <x:v>2</x:v>
      </x:c>
      <x:c r="M32" s="20" t="n">
        <x:v>1</x:v>
      </x:c>
      <x:c r="N32" s="20" t="n">
        <x:v>0</x:v>
      </x:c>
      <x:c r="O32" s="20" t="str">
        <x:v>behzad-karim-khani-303872bd50 | behzad-karim-khani-8e76d35d4a</x:v>
      </x:c>
      <x:c r="P32" s="20" t="str">
        <x:v>1323574328 | 1337076155 | 1378668693</x:v>
      </x:c>
      <x:c r="Q32" s="20" t="str">
        <x:v>830 Deutsche Literatur | B Belletristik</x:v>
      </x:c>
      <x:c r="R32" s="20" t="str">
        <x:v>1. Auflage | Ungekürzte Taschenbuchausgabe, 1. Auflage</x:v>
      </x:c>
      <x:c r="S32" s="20" t="str"/>
      <x:c r="T32" s="25" t="n">
        <x:v>46287.72917824074</x:v>
      </x:c>
    </x:row>
    <x:row r="33" ht="54" customHeight="1">
      <x:c r="A33" s="20" t="str">
        <x:v>work-94d0dd2933e5</x:v>
      </x:c>
      <x:c r="B33" s="20" t="str">
        <x:v>Behzad Karim Khani</x:v>
      </x:c>
      <x:c r="C33" s="20" t="str">
        <x:v>Hund, Wolf, Schakal</x:v>
      </x:c>
      <x:c r="D33" s="20" t="n">
        <x:v>2022</x:v>
      </x:c>
      <x:c r="E33" s="20" t="n">
        <x:v>2024</x:v>
      </x:c>
      <x:c r="F33" s="20" t="str">
        <x:v>standalone work</x:v>
      </x:c>
      <x:c r="G33" s="59" t="str">
        <x:v>verified German-original</x:v>
      </x:c>
      <x:c r="H33" s="20" t="str">
        <x:v>AUTO_KEEP_PROVISIONAL</x:v>
      </x:c>
      <x:c r="I33" s="20" t="str"/>
      <x:c r="J33" s="20" t="str">
        <x:v>Hund, Wolf, Schakal : Roman</x:v>
      </x:c>
      <x:c r="K33" s="20" t="n">
        <x:v>3</x:v>
      </x:c>
      <x:c r="L33" s="20" t="n">
        <x:v>2</x:v>
      </x:c>
      <x:c r="M33" s="20" t="n">
        <x:v>1</x:v>
      </x:c>
      <x:c r="N33" s="20" t="n">
        <x:v>0</x:v>
      </x:c>
      <x:c r="O33" s="20" t="str">
        <x:v>behzad-karim-khani-b0976966e6</x:v>
      </x:c>
      <x:c r="P33" s="20" t="str">
        <x:v>1254070710 | 1263983855 | 1285998227</x:v>
      </x:c>
      <x:c r="Q33" s="20" t="str">
        <x:v>830 Deutsche Literatur | B Belletristik</x:v>
      </x:c>
      <x:c r="R33" s="20" t="str">
        <x:v>1. Auflage | Lizenzausgabe</x:v>
      </x:c>
      <x:c r="S33" s="20" t="str">
        <x:v>publisher biography</x:v>
      </x:c>
      <x:c r="T33" s="25" t="n">
        <x:v>46287.72917824074</x:v>
      </x:c>
    </x:row>
    <x:row r="34" ht="54" customHeight="1">
      <x:c r="A34" s="20" t="str">
        <x:v>work-0eae763fa03a</x:v>
      </x:c>
      <x:c r="B34" s="20" t="str">
        <x:v>Cyrus Atabay</x:v>
      </x:c>
      <x:c r="C34" s="20" t="str">
        <x:v>An - und Abflüge</x:v>
      </x:c>
      <x:c r="D34" s="20" t="n">
        <x:v>1958</x:v>
      </x:c>
      <x:c r="E34" s="20" t="n">
        <x:v>1958</x:v>
      </x:c>
      <x:c r="F34" s="20" t="str">
        <x:v>standalone work</x:v>
      </x:c>
      <x:c r="G34" s="60" t="str">
        <x:v>provisional German-original</x:v>
      </x:c>
      <x:c r="H34" s="20" t="str">
        <x:v>AUTO_KEEP_PROVISIONAL</x:v>
      </x:c>
      <x:c r="I34" s="20" t="str"/>
      <x:c r="J34" s="20" t="str">
        <x:v>An - und Abflüge : Gedichte</x:v>
      </x:c>
      <x:c r="K34" s="20" t="n">
        <x:v>1</x:v>
      </x:c>
      <x:c r="L34" s="20" t="n">
        <x:v>1</x:v>
      </x:c>
      <x:c r="M34" s="20" t="n">
        <x:v>0</x:v>
      </x:c>
      <x:c r="N34" s="20" t="n">
        <x:v>0</x:v>
      </x:c>
      <x:c r="O34" s="20" t="str">
        <x:v>cyrus-atabay-b37880698c</x:v>
      </x:c>
      <x:c r="P34" s="20" t="str">
        <x:v>450155226</x:v>
      </x:c>
      <x:c r="Q34" s="20" t="str">
        <x:v>08a Schöne Literatur</x:v>
      </x:c>
      <x:c r="R34" s="20" t="str"/>
      <x:c r="S34" s="20" t="str"/>
      <x:c r="T34" s="25" t="n">
        <x:v>46287.72917824074</x:v>
      </x:c>
    </x:row>
    <x:row r="35" ht="54" customHeight="1">
      <x:c r="A35" s="20" t="str">
        <x:v>work-26c973fc49fe</x:v>
      </x:c>
      <x:c r="B35" s="20" t="str">
        <x:v>Cyrus Atabay</x:v>
      </x:c>
      <x:c r="C35" s="20" t="str">
        <x:v>An diesem Tage lasen wir keine Zeile mehr</x:v>
      </x:c>
      <x:c r="D35" s="20" t="n">
        <x:v>1974</x:v>
      </x:c>
      <x:c r="E35" s="20" t="n">
        <x:v>1974</x:v>
      </x:c>
      <x:c r="F35" s="20" t="str">
        <x:v>standalone work</x:v>
      </x:c>
      <x:c r="G35" s="60" t="str">
        <x:v>provisional German-original</x:v>
      </x:c>
      <x:c r="H35" s="20" t="str">
        <x:v>AUTO_KEEP_PROVISIONAL</x:v>
      </x:c>
      <x:c r="I35" s="20" t="str"/>
      <x:c r="J35" s="20" t="str">
        <x:v>An diesem Tage lasen wir keine Zeile mehr : Gedichte</x:v>
      </x:c>
      <x:c r="K35" s="20" t="n">
        <x:v>1</x:v>
      </x:c>
      <x:c r="L35" s="20" t="n">
        <x:v>1</x:v>
      </x:c>
      <x:c r="M35" s="20" t="n">
        <x:v>0</x:v>
      </x:c>
      <x:c r="N35" s="20" t="n">
        <x:v>0</x:v>
      </x:c>
      <x:c r="O35" s="20" t="str">
        <x:v>cyrus-atabay-8d38774201</x:v>
      </x:c>
      <x:c r="P35" s="20" t="str">
        <x:v>740293087</x:v>
      </x:c>
      <x:c r="Q35" s="20" t="str">
        <x:v>08a Schöne Literatur</x:v>
      </x:c>
      <x:c r="R35" s="20" t="str">
        <x:v>1. Aufl</x:v>
      </x:c>
      <x:c r="S35" s="20" t="str"/>
      <x:c r="T35" s="25" t="n">
        <x:v>46287.72917824074</x:v>
      </x:c>
    </x:row>
    <x:row r="36" ht="54" customHeight="1">
      <x:c r="A36" s="20" t="str">
        <x:v>work-12b83db98099</x:v>
      </x:c>
      <x:c r="B36" s="20" t="str">
        <x:v>Cyrus Atabay</x:v>
      </x:c>
      <x:c r="C36" s="20" t="str">
        <x:v>Das Auftauchen an einem anderen Ort</x:v>
      </x:c>
      <x:c r="D36" s="20" t="n">
        <x:v>1977</x:v>
      </x:c>
      <x:c r="E36" s="20" t="n">
        <x:v>1977</x:v>
      </x:c>
      <x:c r="F36" s="20" t="str">
        <x:v>standalone work</x:v>
      </x:c>
      <x:c r="G36" s="60" t="str">
        <x:v>provisional German-original</x:v>
      </x:c>
      <x:c r="H36" s="20" t="str">
        <x:v>AUTO_KEEP_PROVISIONAL</x:v>
      </x:c>
      <x:c r="I36" s="20" t="str"/>
      <x:c r="J36" s="20" t="str">
        <x:v>Das Auftauchen an einem anderen Ort : Gedichte</x:v>
      </x:c>
      <x:c r="K36" s="20" t="n">
        <x:v>1</x:v>
      </x:c>
      <x:c r="L36" s="20" t="n">
        <x:v>1</x:v>
      </x:c>
      <x:c r="M36" s="20" t="n">
        <x:v>0</x:v>
      </x:c>
      <x:c r="N36" s="20" t="n">
        <x:v>0</x:v>
      </x:c>
      <x:c r="O36" s="20" t="str">
        <x:v>cyrus-atabay-71923e6d37</x:v>
      </x:c>
      <x:c r="P36" s="20" t="str">
        <x:v>770243363</x:v>
      </x:c>
      <x:c r="Q36" s="20" t="str">
        <x:v>08a Schöne Literatur</x:v>
      </x:c>
      <x:c r="R36" s="20" t="str"/>
      <x:c r="S36" s="20" t="str"/>
      <x:c r="T36" s="25" t="n">
        <x:v>46287.72917824074</x:v>
      </x:c>
    </x:row>
    <x:row r="37" ht="54" customHeight="1">
      <x:c r="A37" s="20" t="str">
        <x:v>work-ef1eb4ccdcb3</x:v>
      </x:c>
      <x:c r="B37" s="20" t="str">
        <x:v>Cyrus Atabay</x:v>
      </x:c>
      <x:c r="C37" s="20" t="str">
        <x:v>Die Leidenschaft der Neugierde</x:v>
      </x:c>
      <x:c r="D37" s="20" t="n">
        <x:v>1981</x:v>
      </x:c>
      <x:c r="E37" s="20" t="n">
        <x:v>1981</x:v>
      </x:c>
      <x:c r="F37" s="20" t="str">
        <x:v>standalone work</x:v>
      </x:c>
      <x:c r="G37" s="60" t="str">
        <x:v>provisional German-original</x:v>
      </x:c>
      <x:c r="H37" s="20" t="str">
        <x:v>AUTO_KEEP_PROVISIONAL</x:v>
      </x:c>
      <x:c r="I37" s="20" t="str"/>
      <x:c r="J37" s="20" t="str">
        <x:v>Die Leidenschaft der Neugierde : neue Gedichte</x:v>
      </x:c>
      <x:c r="K37" s="20" t="n">
        <x:v>1</x:v>
      </x:c>
      <x:c r="L37" s="20" t="n">
        <x:v>1</x:v>
      </x:c>
      <x:c r="M37" s="20" t="n">
        <x:v>0</x:v>
      </x:c>
      <x:c r="N37" s="20" t="n">
        <x:v>0</x:v>
      </x:c>
      <x:c r="O37" s="20" t="str">
        <x:v>cyrus-atabay-8c8e6161a3</x:v>
      </x:c>
      <x:c r="P37" s="20" t="str">
        <x:v>810531518</x:v>
      </x:c>
      <x:c r="Q37" s="20" t="str">
        <x:v>08a Schöne Literatur</x:v>
      </x:c>
      <x:c r="R37" s="20" t="str"/>
      <x:c r="S37" s="20" t="str"/>
      <x:c r="T37" s="25" t="n">
        <x:v>46287.72917824074</x:v>
      </x:c>
    </x:row>
    <x:row r="38" ht="54" customHeight="1">
      <x:c r="A38" s="20" t="str">
        <x:v>work-b4bde2b9320b</x:v>
      </x:c>
      <x:c r="B38" s="20" t="str">
        <x:v>Cyrus Atabay</x:v>
      </x:c>
      <x:c r="C38" s="20" t="str">
        <x:v>Die Linien des Lebens</x:v>
      </x:c>
      <x:c r="D38" s="20" t="n">
        <x:v>1986</x:v>
      </x:c>
      <x:c r="E38" s="20" t="n">
        <x:v>1986</x:v>
      </x:c>
      <x:c r="F38" s="20" t="str">
        <x:v>standalone work</x:v>
      </x:c>
      <x:c r="G38" s="60" t="str">
        <x:v>provisional German-original</x:v>
      </x:c>
      <x:c r="H38" s="20" t="str">
        <x:v>AUTO_KEEP_PROVISIONAL</x:v>
      </x:c>
      <x:c r="I38" s="20" t="str"/>
      <x:c r="J38" s="20" t="str">
        <x:v>Die Linien des Lebens : 61 Gedichte in 5 H</x:v>
      </x:c>
      <x:c r="K38" s="20" t="n">
        <x:v>1</x:v>
      </x:c>
      <x:c r="L38" s="20" t="n">
        <x:v>1</x:v>
      </x:c>
      <x:c r="M38" s="20" t="n">
        <x:v>0</x:v>
      </x:c>
      <x:c r="N38" s="20" t="n">
        <x:v>0</x:v>
      </x:c>
      <x:c r="O38" s="20" t="str">
        <x:v>cyrus-atabay-f2a17014d6</x:v>
      </x:c>
      <x:c r="P38" s="20" t="str">
        <x:v>870057421</x:v>
      </x:c>
      <x:c r="Q38" s="20" t="str">
        <x:v>59 Belletristik | 46 Bildende Kunst | 09 Grenzgebiete der Wissenschaft und Esoterik</x:v>
      </x:c>
      <x:c r="R38" s="20" t="str">
        <x:v>Erstausg</x:v>
      </x:c>
      <x:c r="S38" s="20" t="str"/>
      <x:c r="T38" s="25" t="n">
        <x:v>46287.72917824074</x:v>
      </x:c>
    </x:row>
    <x:row r="39" ht="54" customHeight="1">
      <x:c r="A39" s="20" t="str">
        <x:v>work-2a065fde2f3e</x:v>
      </x:c>
      <x:c r="B39" s="20" t="str">
        <x:v>Cyrus Atabay</x:v>
      </x:c>
      <x:c r="C39" s="20" t="str">
        <x:v>Die Wege des Leichtsinns</x:v>
      </x:c>
      <x:c r="D39" s="20" t="n">
        <x:v>1994</x:v>
      </x:c>
      <x:c r="E39" s="20" t="n">
        <x:v>1994</x:v>
      </x:c>
      <x:c r="F39" s="20" t="str">
        <x:v>standalone work</x:v>
      </x:c>
      <x:c r="G39" s="60" t="str">
        <x:v>provisional German-original</x:v>
      </x:c>
      <x:c r="H39" s="20" t="str">
        <x:v>AUTO_KEEP_PROVISIONAL</x:v>
      </x:c>
      <x:c r="I39" s="20" t="str"/>
      <x:c r="J39" s="20" t="str">
        <x:v>Die Wege des Leichtsinns : zerstreutes äolisches Material ; Gedichte</x:v>
      </x:c>
      <x:c r="K39" s="20" t="n">
        <x:v>1</x:v>
      </x:c>
      <x:c r="L39" s="20" t="n">
        <x:v>1</x:v>
      </x:c>
      <x:c r="M39" s="20" t="n">
        <x:v>0</x:v>
      </x:c>
      <x:c r="N39" s="20" t="n">
        <x:v>0</x:v>
      </x:c>
      <x:c r="O39" s="20" t="str">
        <x:v>cyrus-atabay-dd7778f9b0</x:v>
      </x:c>
      <x:c r="P39" s="20" t="str">
        <x:v>94266566X</x:v>
      </x:c>
      <x:c r="Q39" s="20" t="str">
        <x:v>59 Belletristik</x:v>
      </x:c>
      <x:c r="R39" s="20" t="str">
        <x:v>Erstausg</x:v>
      </x:c>
      <x:c r="S39" s="20" t="str"/>
      <x:c r="T39" s="25" t="n">
        <x:v>46287.72917824074</x:v>
      </x:c>
    </x:row>
    <x:row r="40" ht="54" customHeight="1">
      <x:c r="A40" s="20" t="str">
        <x:v>work-e5062e732b34</x:v>
      </x:c>
      <x:c r="B40" s="20" t="str">
        <x:v>Cyrus Atabay</x:v>
      </x:c>
      <x:c r="C40" s="20" t="str">
        <x:v>Doppelte Wahrheit</x:v>
      </x:c>
      <x:c r="D40" s="20" t="n">
        <x:v>1969</x:v>
      </x:c>
      <x:c r="E40" s="20" t="n">
        <x:v>1969</x:v>
      </x:c>
      <x:c r="F40" s="20" t="str">
        <x:v>standalone work</x:v>
      </x:c>
      <x:c r="G40" s="60" t="str">
        <x:v>provisional German-original</x:v>
      </x:c>
      <x:c r="H40" s="20" t="str">
        <x:v>AUTO_KEEP_PROVISIONAL</x:v>
      </x:c>
      <x:c r="I40" s="20" t="str"/>
      <x:c r="J40" s="20" t="str">
        <x:v>Doppelte Wahrheit : Gedichte u. Prosa</x:v>
      </x:c>
      <x:c r="K40" s="20" t="n">
        <x:v>1</x:v>
      </x:c>
      <x:c r="L40" s="20" t="n">
        <x:v>1</x:v>
      </x:c>
      <x:c r="M40" s="20" t="n">
        <x:v>0</x:v>
      </x:c>
      <x:c r="N40" s="20" t="n">
        <x:v>0</x:v>
      </x:c>
      <x:c r="O40" s="20" t="str">
        <x:v>cyrus-atabay-d167d31154</x:v>
      </x:c>
      <x:c r="P40" s="20" t="str">
        <x:v>455567301</x:v>
      </x:c>
      <x:c r="Q40" s="20" t="str">
        <x:v>08a Schöne Literatur</x:v>
      </x:c>
      <x:c r="R40" s="20" t="str"/>
      <x:c r="S40" s="20" t="str"/>
      <x:c r="T40" s="25" t="n">
        <x:v>46287.72917824074</x:v>
      </x:c>
    </x:row>
    <x:row r="41" ht="54" customHeight="1">
      <x:c r="A41" s="20" t="str">
        <x:v>work-2afd2f99e401</x:v>
      </x:c>
      <x:c r="B41" s="20" t="str">
        <x:v>Cyrus Atabay</x:v>
      </x:c>
      <x:c r="C41" s="20" t="str">
        <x:v>Einige Schatten</x:v>
      </x:c>
      <x:c r="D41" s="20" t="n">
        <x:v>1956</x:v>
      </x:c>
      <x:c r="E41" s="20" t="n">
        <x:v>1956</x:v>
      </x:c>
      <x:c r="F41" s="20" t="str">
        <x:v>standalone work</x:v>
      </x:c>
      <x:c r="G41" s="60" t="str">
        <x:v>provisional German-original</x:v>
      </x:c>
      <x:c r="H41" s="20" t="str">
        <x:v>AUTO_KEEP_PROVISIONAL</x:v>
      </x:c>
      <x:c r="I41" s="20" t="str"/>
      <x:c r="J41" s="20" t="str">
        <x:v>Einige Schatten</x:v>
      </x:c>
      <x:c r="K41" s="20" t="n">
        <x:v>1</x:v>
      </x:c>
      <x:c r="L41" s="20" t="n">
        <x:v>1</x:v>
      </x:c>
      <x:c r="M41" s="20" t="n">
        <x:v>0</x:v>
      </x:c>
      <x:c r="N41" s="20" t="n">
        <x:v>0</x:v>
      </x:c>
      <x:c r="O41" s="20" t="str">
        <x:v>cyrus-atabay-2afd2f99e4</x:v>
      </x:c>
      <x:c r="P41" s="20" t="str">
        <x:v>450155242</x:v>
      </x:c>
      <x:c r="Q41" s="20" t="str">
        <x:v>830 Deutsche Literatur | B Belletristik</x:v>
      </x:c>
      <x:c r="R41" s="20" t="str"/>
      <x:c r="S41" s="20" t="str"/>
      <x:c r="T41" s="25" t="n">
        <x:v>46287.72917824074</x:v>
      </x:c>
    </x:row>
    <x:row r="42" ht="54" customHeight="1">
      <x:c r="A42" s="20" t="str">
        <x:v>work-01a9644a775b</x:v>
      </x:c>
      <x:c r="B42" s="20" t="str">
        <x:v>Cyrus Atabay</x:v>
      </x:c>
      <x:c r="C42" s="20" t="str">
        <x:v>Gedichte</x:v>
      </x:c>
      <x:c r="D42" s="20" t="n">
        <x:v>1991</x:v>
      </x:c>
      <x:c r="E42" s="20" t="n">
        <x:v>1991</x:v>
      </x:c>
      <x:c r="F42" s="20" t="str">
        <x:v>standalone work</x:v>
      </x:c>
      <x:c r="G42" s="60" t="str">
        <x:v>provisional German-original</x:v>
      </x:c>
      <x:c r="H42" s="20" t="str">
        <x:v>AUTO_KEEP_PROVISIONAL</x:v>
      </x:c>
      <x:c r="I42" s="20" t="str"/>
      <x:c r="J42" s="20" t="str">
        <x:v>Gedichte</x:v>
      </x:c>
      <x:c r="K42" s="20" t="n">
        <x:v>1</x:v>
      </x:c>
      <x:c r="L42" s="20" t="n">
        <x:v>1</x:v>
      </x:c>
      <x:c r="M42" s="20" t="n">
        <x:v>0</x:v>
      </x:c>
      <x:c r="N42" s="20" t="n">
        <x:v>0</x:v>
      </x:c>
      <x:c r="O42" s="20" t="str">
        <x:v>cyrus-atabay-01a9644a77</x:v>
      </x:c>
      <x:c r="P42" s="20" t="str">
        <x:v>911089543</x:v>
      </x:c>
      <x:c r="Q42" s="20" t="str">
        <x:v>59 Belletristik</x:v>
      </x:c>
      <x:c r="R42" s="20" t="str">
        <x:v>1. Aufl</x:v>
      </x:c>
      <x:c r="S42" s="20" t="str"/>
      <x:c r="T42" s="25" t="n">
        <x:v>46287.72917824074</x:v>
      </x:c>
    </x:row>
    <x:row r="43" ht="54" customHeight="1">
      <x:c r="A43" s="20" t="str">
        <x:v>work-7c0fb8567ea8</x:v>
      </x:c>
      <x:c r="B43" s="20" t="str">
        <x:v>Cyrus Atabay</x:v>
      </x:c>
      <x:c r="C43" s="20" t="str">
        <x:v>Gegenüber der Sonne</x:v>
      </x:c>
      <x:c r="D43" s="20" t="n">
        <x:v>1964</x:v>
      </x:c>
      <x:c r="E43" s="20" t="n">
        <x:v>1964</x:v>
      </x:c>
      <x:c r="F43" s="20" t="str">
        <x:v>standalone work</x:v>
      </x:c>
      <x:c r="G43" s="60" t="str">
        <x:v>provisional German-original</x:v>
      </x:c>
      <x:c r="H43" s="20" t="str">
        <x:v>AUTO_KEEP_PROVISIONAL</x:v>
      </x:c>
      <x:c r="I43" s="20" t="str"/>
      <x:c r="J43" s="20" t="str">
        <x:v>Gegenüber der Sonne : Gedichte u. kleine Prosa</x:v>
      </x:c>
      <x:c r="K43" s="20" t="n">
        <x:v>1</x:v>
      </x:c>
      <x:c r="L43" s="20" t="n">
        <x:v>1</x:v>
      </x:c>
      <x:c r="M43" s="20" t="n">
        <x:v>0</x:v>
      </x:c>
      <x:c r="N43" s="20" t="n">
        <x:v>0</x:v>
      </x:c>
      <x:c r="O43" s="20" t="str">
        <x:v>cyrus-atabay-5687f66248</x:v>
      </x:c>
      <x:c r="P43" s="20" t="str">
        <x:v>450155250</x:v>
      </x:c>
      <x:c r="Q43" s="20" t="str">
        <x:v>08a Schöne Literatur</x:v>
      </x:c>
      <x:c r="R43" s="20" t="str"/>
      <x:c r="S43" s="20" t="str"/>
      <x:c r="T43" s="25" t="n">
        <x:v>46287.72917824074</x:v>
      </x:c>
    </x:row>
    <x:row r="44" ht="54" customHeight="1">
      <x:c r="A44" s="20" t="str">
        <x:v>work-e36f7e974be9</x:v>
      </x:c>
      <x:c r="B44" s="20" t="str">
        <x:v>Cyrus Atabay</x:v>
      </x:c>
      <x:c r="C44" s="20" t="str">
        <x:v>Leise Revolten</x:v>
      </x:c>
      <x:c r="D44" s="20" t="n">
        <x:v>1992</x:v>
      </x:c>
      <x:c r="E44" s="20" t="n">
        <x:v>1992</x:v>
      </x:c>
      <x:c r="F44" s="20" t="str">
        <x:v>standalone work</x:v>
      </x:c>
      <x:c r="G44" s="60" t="str">
        <x:v>provisional German-original</x:v>
      </x:c>
      <x:c r="H44" s="20" t="str">
        <x:v>AUTO_KEEP_PROVISIONAL</x:v>
      </x:c>
      <x:c r="I44" s="20" t="str"/>
      <x:c r="J44" s="20" t="str">
        <x:v>Leise Revolten : kleine Prosa aus drei Jahrzehnten</x:v>
      </x:c>
      <x:c r="K44" s="20" t="n">
        <x:v>1</x:v>
      </x:c>
      <x:c r="L44" s="20" t="n">
        <x:v>1</x:v>
      </x:c>
      <x:c r="M44" s="20" t="n">
        <x:v>0</x:v>
      </x:c>
      <x:c r="N44" s="20" t="n">
        <x:v>0</x:v>
      </x:c>
      <x:c r="O44" s="20" t="str">
        <x:v>cyrus-atabay-bcb5db44a4</x:v>
      </x:c>
      <x:c r="P44" s="20" t="str">
        <x:v>930241622</x:v>
      </x:c>
      <x:c r="Q44" s="20" t="str">
        <x:v>59 Belletristik | 46 Bildende Kunst</x:v>
      </x:c>
      <x:c r="R44" s="20" t="str"/>
      <x:c r="S44" s="20" t="str"/>
      <x:c r="T44" s="25" t="n">
        <x:v>46287.72917824074</x:v>
      </x:c>
    </x:row>
    <x:row r="45" ht="54" customHeight="1">
      <x:c r="A45" s="20" t="str">
        <x:v>work-8b5966723907</x:v>
      </x:c>
      <x:c r="B45" s="20" t="str">
        <x:v>Cyrus Atabay</x:v>
      </x:c>
      <x:c r="C45" s="20" t="str">
        <x:v>Meditation am Webstuhl</x:v>
      </x:c>
      <x:c r="D45" s="20" t="n">
        <x:v>1960</x:v>
      </x:c>
      <x:c r="E45" s="20" t="n">
        <x:v>1960</x:v>
      </x:c>
      <x:c r="F45" s="20" t="str">
        <x:v>standalone work</x:v>
      </x:c>
      <x:c r="G45" s="60" t="str">
        <x:v>provisional German-original</x:v>
      </x:c>
      <x:c r="H45" s="20" t="str">
        <x:v>AUTO_KEEP_PROVISIONAL</x:v>
      </x:c>
      <x:c r="I45" s="20" t="str"/>
      <x:c r="J45" s="20" t="str">
        <x:v>Meditation am Webstuhl : Neue Gedichte</x:v>
      </x:c>
      <x:c r="K45" s="20" t="n">
        <x:v>1</x:v>
      </x:c>
      <x:c r="L45" s="20" t="n">
        <x:v>1</x:v>
      </x:c>
      <x:c r="M45" s="20" t="n">
        <x:v>0</x:v>
      </x:c>
      <x:c r="N45" s="20" t="n">
        <x:v>0</x:v>
      </x:c>
      <x:c r="O45" s="20" t="str">
        <x:v>cyrus-atabay-79d4f09bce</x:v>
      </x:c>
      <x:c r="P45" s="20" t="str">
        <x:v>450155234</x:v>
      </x:c>
      <x:c r="Q45" s="20" t="str">
        <x:v>08a Schöne Literatur</x:v>
      </x:c>
      <x:c r="R45" s="20" t="str"/>
      <x:c r="S45" s="20" t="str"/>
      <x:c r="T45" s="25" t="n">
        <x:v>46287.72917824074</x:v>
      </x:c>
    </x:row>
    <x:row r="46" ht="54" customHeight="1">
      <x:c r="A46" s="20" t="str">
        <x:v>work-39d94cfc4338</x:v>
      </x:c>
      <x:c r="B46" s="20" t="str">
        <x:v>Cyrus Atabay</x:v>
      </x:c>
      <x:c r="C46" s="20" t="str">
        <x:v>Prosperos Tagebuch</x:v>
      </x:c>
      <x:c r="D46" s="20" t="n">
        <x:v>1985</x:v>
      </x:c>
      <x:c r="E46" s="20" t="n">
        <x:v>2018</x:v>
      </x:c>
      <x:c r="F46" s="20" t="str">
        <x:v>standalone work</x:v>
      </x:c>
      <x:c r="G46" s="60" t="str">
        <x:v>provisional German-original</x:v>
      </x:c>
      <x:c r="H46" s="20" t="str">
        <x:v>AUTO_KEEP_PROVISIONAL</x:v>
      </x:c>
      <x:c r="I46" s="20" t="str"/>
      <x:c r="J46" s="20" t="str">
        <x:v>Prosperos Tagebuch : Gedichte</x:v>
      </x:c>
      <x:c r="K46" s="20" t="n">
        <x:v>2</x:v>
      </x:c>
      <x:c r="L46" s="20" t="n">
        <x:v>2</x:v>
      </x:c>
      <x:c r="M46" s="20" t="n">
        <x:v>0</x:v>
      </x:c>
      <x:c r="N46" s="20" t="n">
        <x:v>0</x:v>
      </x:c>
      <x:c r="O46" s="20" t="str">
        <x:v>cyrus-atabay-02263a21d8</x:v>
      </x:c>
      <x:c r="P46" s="20" t="str">
        <x:v>1148124985 | 850702585</x:v>
      </x:c>
      <x:c r="Q46" s="20" t="str">
        <x:v>830 Deutsche Literatur | B Belletristik | 59 Belletristik | 46 Bildende Kunst</x:v>
      </x:c>
      <x:c r="R46" s="20" t="str">
        <x:v>Erstausg</x:v>
      </x:c>
      <x:c r="S46" s="20" t="str"/>
      <x:c r="T46" s="25" t="n">
        <x:v>46287.72917824074</x:v>
      </x:c>
    </x:row>
    <x:row r="47" ht="54" customHeight="1">
      <x:c r="A47" s="20" t="str">
        <x:v>work-316fcb4ab372</x:v>
      </x:c>
      <x:c r="B47" s="20" t="str">
        <x:v>Cyrus Atabay</x:v>
      </x:c>
      <x:c r="C47" s="20" t="str">
        <x:v>Puschkiniana</x:v>
      </x:c>
      <x:c r="D47" s="20" t="n">
        <x:v>1990</x:v>
      </x:c>
      <x:c r="E47" s="20" t="n">
        <x:v>1990</x:v>
      </x:c>
      <x:c r="F47" s="20" t="str">
        <x:v>standalone work</x:v>
      </x:c>
      <x:c r="G47" s="60" t="str">
        <x:v>provisional German-original</x:v>
      </x:c>
      <x:c r="H47" s="20" t="str">
        <x:v>AUTO_KEEP_PROVISIONAL</x:v>
      </x:c>
      <x:c r="I47" s="20" t="str"/>
      <x:c r="J47" s="20" t="str">
        <x:v>Puschkiniana : Gedichte</x:v>
      </x:c>
      <x:c r="K47" s="20" t="n">
        <x:v>1</x:v>
      </x:c>
      <x:c r="L47" s="20" t="n">
        <x:v>1</x:v>
      </x:c>
      <x:c r="M47" s="20" t="n">
        <x:v>0</x:v>
      </x:c>
      <x:c r="N47" s="20" t="n">
        <x:v>0</x:v>
      </x:c>
      <x:c r="O47" s="20" t="str">
        <x:v>cyrus-atabay-8eef27a1c2</x:v>
      </x:c>
      <x:c r="P47" s="20" t="str">
        <x:v>910024359</x:v>
      </x:c>
      <x:c r="Q47" s="20" t="str">
        <x:v>59 Belletristik</x:v>
      </x:c>
      <x:c r="R47" s="20" t="str">
        <x:v>Erstausg</x:v>
      </x:c>
      <x:c r="S47" s="20" t="str"/>
      <x:c r="T47" s="25" t="n">
        <x:v>46287.72917824074</x:v>
      </x:c>
    </x:row>
    <x:row r="48" ht="54" customHeight="1">
      <x:c r="A48" s="20" t="str">
        <x:v>work-e4c2990f229c</x:v>
      </x:c>
      <x:c r="B48" s="20" t="str">
        <x:v>Cyrus Atabay</x:v>
      </x:c>
      <x:c r="C48" s="20" t="str">
        <x:v>Salut den Tieren</x:v>
      </x:c>
      <x:c r="D48" s="20" t="n">
        <x:v>1983</x:v>
      </x:c>
      <x:c r="E48" s="20" t="n">
        <x:v>1983</x:v>
      </x:c>
      <x:c r="F48" s="20" t="str">
        <x:v>standalone work</x:v>
      </x:c>
      <x:c r="G48" s="60" t="str">
        <x:v>provisional German-original</x:v>
      </x:c>
      <x:c r="H48" s="20" t="str">
        <x:v>AUTO_KEEP_PROVISIONAL</x:v>
      </x:c>
      <x:c r="I48" s="20" t="str"/>
      <x:c r="J48" s="20" t="str">
        <x:v>Salut den Tieren : e. Bestiarium</x:v>
      </x:c>
      <x:c r="K48" s="20" t="n">
        <x:v>1</x:v>
      </x:c>
      <x:c r="L48" s="20" t="n">
        <x:v>1</x:v>
      </x:c>
      <x:c r="M48" s="20" t="n">
        <x:v>0</x:v>
      </x:c>
      <x:c r="N48" s="20" t="n">
        <x:v>0</x:v>
      </x:c>
      <x:c r="O48" s="20" t="str">
        <x:v>cyrus-atabay-b566a483de</x:v>
      </x:c>
      <x:c r="P48" s="20" t="str">
        <x:v>840173318</x:v>
      </x:c>
      <x:c r="Q48" s="20" t="str">
        <x:v>46 Bildende Kunst | 09 Grenzgebiete der Wissenschaft und Esoterik | 59 Belletristik</x:v>
      </x:c>
      <x:c r="R48" s="20" t="str">
        <x:v>Erstausg</x:v>
      </x:c>
      <x:c r="S48" s="20" t="str"/>
      <x:c r="T48" s="25" t="n">
        <x:v>46287.72917824074</x:v>
      </x:c>
    </x:row>
    <x:row r="49" ht="54" customHeight="1">
      <x:c r="A49" s="20" t="str">
        <x:v>work-73503e15d45c</x:v>
      </x:c>
      <x:c r="B49" s="20" t="str">
        <x:v>Cyrus Atabay</x:v>
      </x:c>
      <x:c r="C49" s="20" t="str">
        <x:v>Stadtplan von Samarkand</x:v>
      </x:c>
      <x:c r="D49" s="20" t="n">
        <x:v>1983</x:v>
      </x:c>
      <x:c r="E49" s="20" t="n">
        <x:v>1983</x:v>
      </x:c>
      <x:c r="F49" s="20" t="str">
        <x:v>standalone work</x:v>
      </x:c>
      <x:c r="G49" s="60" t="str">
        <x:v>provisional German-original</x:v>
      </x:c>
      <x:c r="H49" s="20" t="str">
        <x:v>AUTO_KEEP_PROVISIONAL</x:v>
      </x:c>
      <x:c r="I49" s="20" t="str"/>
      <x:c r="J49" s="20" t="str">
        <x:v>Stadtplan von Samarkand : Porträts, Skizzen, Gedichte</x:v>
      </x:c>
      <x:c r="K49" s="20" t="n">
        <x:v>1</x:v>
      </x:c>
      <x:c r="L49" s="20" t="n">
        <x:v>1</x:v>
      </x:c>
      <x:c r="M49" s="20" t="n">
        <x:v>0</x:v>
      </x:c>
      <x:c r="N49" s="20" t="n">
        <x:v>0</x:v>
      </x:c>
      <x:c r="O49" s="20" t="str">
        <x:v>cyrus-atabay-3d908c8e93</x:v>
      </x:c>
      <x:c r="P49" s="20" t="str">
        <x:v>830671560</x:v>
      </x:c>
      <x:c r="Q49" s="20" t="str">
        <x:v>59 Belletristik | 46 Bildende Kunst | 09 Grenzgebiete der Wissenschaft und Esoterik</x:v>
      </x:c>
      <x:c r="R49" s="20" t="str">
        <x:v>Erstausg</x:v>
      </x:c>
      <x:c r="S49" s="20" t="str"/>
      <x:c r="T49" s="25" t="n">
        <x:v>46287.72917824074</x:v>
      </x:c>
    </x:row>
    <x:row r="50" ht="54" customHeight="1">
      <x:c r="A50" s="20" t="str">
        <x:v>work-613936e994db</x:v>
      </x:c>
      <x:c r="B50" s="20" t="str">
        <x:v>Fahimeh Farsaie</x:v>
      </x:c>
      <x:c r="C50" s="20" t="str">
        <x:v>Eines Dienstags beschloss meine Mutter Deutsche zu werden</x:v>
      </x:c>
      <x:c r="D50" s="20" t="n">
        <x:v>2006</x:v>
      </x:c>
      <x:c r="E50" s="20" t="n">
        <x:v>2016</x:v>
      </x:c>
      <x:c r="F50" s="20" t="str">
        <x:v>standalone work</x:v>
      </x:c>
      <x:c r="G50" s="60" t="str">
        <x:v>provisional German-original</x:v>
      </x:c>
      <x:c r="H50" s="52" t="str">
        <x:v>Queue: KEEP_ONE</x:v>
      </x:c>
      <x:c r="I50" s="20" t="str">
        <x:v>The 2006, 2014 and 2016 records have the same title. The later records are an e-book and a new print edition, so I counted one work.</x:v>
      </x:c>
      <x:c r="J50" s="20" t="str">
        <x:v>Eines Dienstags beschloss meine Mutter Deutsche zu werden | Eines Dienstags beschloss meine Mutter Deutsche zu werden : Roman</x:v>
      </x:c>
      <x:c r="K50" s="20" t="n">
        <x:v>3</x:v>
      </x:c>
      <x:c r="L50" s="20" t="n">
        <x:v>2</x:v>
      </x:c>
      <x:c r="M50" s="20" t="n">
        <x:v>1</x:v>
      </x:c>
      <x:c r="N50" s="20" t="n">
        <x:v>0</x:v>
      </x:c>
      <x:c r="O50" s="20" t="str">
        <x:v>fahimeh-farsaie-3cedcc759b | fahimeh-farsaie-613936e994</x:v>
      </x:c>
      <x:c r="P50" s="20" t="str">
        <x:v>1060478412 | 1106898818 | 977584119</x:v>
      </x:c>
      <x:c r="Q50" s="20" t="str">
        <x:v>830 Deutsche Literatur | B Belletristik</x:v>
      </x:c>
      <x:c r="R50" s="20" t="str">
        <x:v>[1. Auflage]</x:v>
      </x:c>
      <x:c r="S50" s="20" t="str">
        <x:v>Velbrück product page: Farsaie named as author; no translator named</x:v>
      </x:c>
      <x:c r="T50" s="25" t="n">
        <x:v>46287.72917824074</x:v>
      </x:c>
    </x:row>
    <x:row r="51" ht="54" customHeight="1">
      <x:c r="A51" s="20" t="str">
        <x:v>work-f83fd8ebebd5</x:v>
      </x:c>
      <x:c r="B51" s="20" t="str">
        <x:v>Fahimeh Farsaie</x:v>
      </x:c>
      <x:c r="C51" s="20" t="str">
        <x:v>Nassrins öst-westliche Nacht</x:v>
      </x:c>
      <x:c r="D51" s="20" t="n">
        <x:v>2017</x:v>
      </x:c>
      <x:c r="E51" s="20" t="n">
        <x:v>2017</x:v>
      </x:c>
      <x:c r="F51" s="20" t="str">
        <x:v>standalone work</x:v>
      </x:c>
      <x:c r="G51" s="60" t="str">
        <x:v>provisional German-original</x:v>
      </x:c>
      <x:c r="H51" s="20" t="str">
        <x:v>AUTO_KEEP_PROVISIONAL</x:v>
      </x:c>
      <x:c r="I51" s="20" t="str"/>
      <x:c r="J51" s="20" t="str">
        <x:v>Nassrins öst-westliche Nacht</x:v>
      </x:c>
      <x:c r="K51" s="20" t="n">
        <x:v>1</x:v>
      </x:c>
      <x:c r="L51" s="20" t="n">
        <x:v>1</x:v>
      </x:c>
      <x:c r="M51" s="20" t="n">
        <x:v>0</x:v>
      </x:c>
      <x:c r="N51" s="20" t="n">
        <x:v>0</x:v>
      </x:c>
      <x:c r="O51" s="20" t="str">
        <x:v>fahimeh-farsaie-7d35d376d0</x:v>
      </x:c>
      <x:c r="P51" s="20" t="str">
        <x:v>1127004565</x:v>
      </x:c>
      <x:c r="Q51" s="20" t="str">
        <x:v>830 Deutsche Literatur | B Belletristik</x:v>
      </x:c>
      <x:c r="R51" s="20" t="str"/>
      <x:c r="S51" s="20" t="str"/>
      <x:c r="T51" s="25" t="n">
        <x:v>46287.72917824074</x:v>
      </x:c>
    </x:row>
    <x:row r="52" ht="54" customHeight="1">
      <x:c r="A52" s="20" t="str">
        <x:v>work-44a14352dd0c</x:v>
      </x:c>
      <x:c r="B52" s="20" t="str">
        <x:v>Hengameh Yaghoobifarah</x:v>
      </x:c>
      <x:c r="C52" s="20" t="str">
        <x:v>Ich war auf der Fusion, und alles, was ich bekam, war ein blutiges Herz</x:v>
      </x:c>
      <x:c r="D52" s="20" t="n">
        <x:v>2018</x:v>
      </x:c>
      <x:c r="E52" s="20" t="n">
        <x:v>2019</x:v>
      </x:c>
      <x:c r="F52" s="20" t="str">
        <x:v>standalone work</x:v>
      </x:c>
      <x:c r="G52" s="60" t="str">
        <x:v>provisional German-original</x:v>
      </x:c>
      <x:c r="H52" s="20" t="str">
        <x:v>AUTO_KEEP_PROVISIONAL</x:v>
      </x:c>
      <x:c r="I52" s="20" t="str"/>
      <x:c r="J52" s="20" t="str">
        <x:v>Ich war auf der Fusion, und alles, was ich bekam, war ein blutiges Herz</x:v>
      </x:c>
      <x:c r="K52" s="20" t="n">
        <x:v>2</x:v>
      </x:c>
      <x:c r="L52" s="20" t="n">
        <x:v>1</x:v>
      </x:c>
      <x:c r="M52" s="20" t="n">
        <x:v>1</x:v>
      </x:c>
      <x:c r="N52" s="20" t="n">
        <x:v>0</x:v>
      </x:c>
      <x:c r="O52" s="20" t="str">
        <x:v>hengameh-yaghoobifarah-44a14352dd</x:v>
      </x:c>
      <x:c r="P52" s="20" t="str">
        <x:v>1156857996 | 1271262223</x:v>
      </x:c>
      <x:c r="Q52" s="20" t="str">
        <x:v>830 Deutsche Literatur | B Belletristik</x:v>
      </x:c>
      <x:c r="R52" s="20" t="str">
        <x:v>1. Auflage</x:v>
      </x:c>
      <x:c r="S52" s="20" t="str"/>
      <x:c r="T52" s="25" t="n">
        <x:v>46287.72917824074</x:v>
      </x:c>
    </x:row>
    <x:row r="53" ht="54" customHeight="1">
      <x:c r="A53" s="20" t="str">
        <x:v>work-dfa642fa684e</x:v>
      </x:c>
      <x:c r="B53" s="20" t="str">
        <x:v>Hengameh Yaghoobifarah</x:v>
      </x:c>
      <x:c r="C53" s="20" t="str">
        <x:v>Ministerium der Träume</x:v>
      </x:c>
      <x:c r="D53" s="20" t="n">
        <x:v>2021</x:v>
      </x:c>
      <x:c r="E53" s="20" t="n">
        <x:v>2022</x:v>
      </x:c>
      <x:c r="F53" s="20" t="str">
        <x:v>standalone work</x:v>
      </x:c>
      <x:c r="G53" s="59" t="str">
        <x:v>verified German-original</x:v>
      </x:c>
      <x:c r="H53" s="52" t="str">
        <x:v>Queue: KEEP_ONE</x:v>
      </x:c>
      <x:c r="I53" s="20" t="str">
        <x:v>These records are print, e-book and audiobook versions of the same novel. One audiobook is shortened, but it is still the same work, so I counted it once.</x:v>
      </x:c>
      <x:c r="J53" s="20" t="str">
        <x:v>Ministerium der Träume | Ministerium der Träume : Roman</x:v>
      </x:c>
      <x:c r="K53" s="20" t="n">
        <x:v>6</x:v>
      </x:c>
      <x:c r="L53" s="20" t="n">
        <x:v>2</x:v>
      </x:c>
      <x:c r="M53" s="20" t="n">
        <x:v>3</x:v>
      </x:c>
      <x:c r="N53" s="20" t="n">
        <x:v>3</x:v>
      </x:c>
      <x:c r="O53" s="20" t="str">
        <x:v>hengameh-yaghoobifarah-0712aa95af | hengameh-yaghoobifarah-56f0109612</x:v>
      </x:c>
      <x:c r="P53" s="20" t="str">
        <x:v>122173668X | 1223611736 | 1224438329 | 1227186797 | 1255135301 | 126439554X</x:v>
      </x:c>
      <x:c r="Q53" s="20" t="str">
        <x:v>830 Deutsche Literatur | B Belletristik</x:v>
      </x:c>
      <x:c r="R53" s="20" t="str">
        <x:v>1. Auflage | Ungekürzte Lesung | gekürzte Ausgabe | 1. Auflage, vollständige Taschenbuchausgabe</x:v>
      </x:c>
      <x:c r="S53" s="20" t="str">
        <x:v>publisher biography</x:v>
      </x:c>
      <x:c r="T53" s="25" t="n">
        <x:v>46287.72917824074</x:v>
      </x:c>
    </x:row>
    <x:row r="54" ht="54" customHeight="1">
      <x:c r="A54" s="20" t="str">
        <x:v>work-9621a81ca9ea</x:v>
      </x:c>
      <x:c r="B54" s="20" t="str">
        <x:v>Hengameh Yaghoobifarah</x:v>
      </x:c>
      <x:c r="C54" s="20" t="str">
        <x:v>Schwindel</x:v>
      </x:c>
      <x:c r="D54" s="20" t="n">
        <x:v>2024</x:v>
      </x:c>
      <x:c r="E54" s="20" t="n">
        <x:v>2027</x:v>
      </x:c>
      <x:c r="F54" s="20" t="str">
        <x:v>standalone work</x:v>
      </x:c>
      <x:c r="G54" s="59" t="str">
        <x:v>verified German-original</x:v>
      </x:c>
      <x:c r="H54" s="20" t="str">
        <x:v>AUTO_KEEP_PROVISIONAL</x:v>
      </x:c>
      <x:c r="I54" s="20" t="str"/>
      <x:c r="J54" s="20" t="str">
        <x:v>Schwindel : Roman</x:v>
      </x:c>
      <x:c r="K54" s="20" t="n">
        <x:v>3</x:v>
      </x:c>
      <x:c r="L54" s="20" t="n">
        <x:v>2</x:v>
      </x:c>
      <x:c r="M54" s="20" t="n">
        <x:v>1</x:v>
      </x:c>
      <x:c r="N54" s="20" t="n">
        <x:v>0</x:v>
      </x:c>
      <x:c r="O54" s="20" t="str">
        <x:v>hengameh-yaghoobifarah-b48e0ecfeb</x:v>
      </x:c>
      <x:c r="P54" s="20" t="str">
        <x:v>1325502545 | 1334161860 | 1395271798</x:v>
      </x:c>
      <x:c r="Q54" s="20" t="str">
        <x:v>830 Deutsche Literatur | B Belletristik</x:v>
      </x:c>
      <x:c r="R54" s="20" t="str">
        <x:v>1. Auflage</x:v>
      </x:c>
      <x:c r="S54" s="20" t="str">
        <x:v>publisher biography</x:v>
      </x:c>
      <x:c r="T54" s="25" t="n">
        <x:v>46287.72917824074</x:v>
      </x:c>
    </x:row>
    <x:row r="55" ht="54" customHeight="1">
      <x:c r="A55" s="20" t="str">
        <x:v>work-fbfc61e733b6</x:v>
      </x:c>
      <x:c r="B55" s="20" t="str">
        <x:v>May Atashkar</x:v>
      </x:c>
      <x:c r="C55" s="20" t="str">
        <x:v>Ein Himmel tausend Sterne</x:v>
      </x:c>
      <x:c r="D55" s="20" t="n">
        <x:v>2012</x:v>
      </x:c>
      <x:c r="E55" s="20" t="n">
        <x:v>2012</x:v>
      </x:c>
      <x:c r="F55" s="20" t="str">
        <x:v>standalone work</x:v>
      </x:c>
      <x:c r="G55" s="60" t="str">
        <x:v>provisional German-original</x:v>
      </x:c>
      <x:c r="H55" s="52" t="str">
        <x:v>Queue: KEEP_ONE</x:v>
      </x:c>
      <x:c r="I55" s="20" t="str">
        <x:v>Based on the DNB record, this is a German book and no translator is named. I kept the German-original status as provisional.</x:v>
      </x:c>
      <x:c r="J55" s="20" t="str">
        <x:v>Ein Himmel tausend Sterne</x:v>
      </x:c>
      <x:c r="K55" s="20" t="n">
        <x:v>1</x:v>
      </x:c>
      <x:c r="L55" s="20" t="n">
        <x:v>1</x:v>
      </x:c>
      <x:c r="M55" s="20" t="n">
        <x:v>0</x:v>
      </x:c>
      <x:c r="N55" s="20" t="n">
        <x:v>0</x:v>
      </x:c>
      <x:c r="O55" s="20" t="str">
        <x:v>may-atashkar-fbfc61e733</x:v>
      </x:c>
      <x:c r="P55" s="20" t="str">
        <x:v>1026743990</x:v>
      </x:c>
      <x:c r="Q55" s="20" t="str">
        <x:v>830 Deutsche Literatur | B Belletristik</x:v>
      </x:c>
      <x:c r="R55" s="20" t="str">
        <x:v>1. Aufl</x:v>
      </x:c>
      <x:c r="S55" s="20" t="str"/>
      <x:c r="T55" s="25" t="n">
        <x:v>46287.72917824074</x:v>
      </x:c>
    </x:row>
    <x:row r="56" ht="54" customHeight="1">
      <x:c r="A56" s="20" t="str">
        <x:v>work-83ae0b924fe4</x:v>
      </x:c>
      <x:c r="B56" s="20" t="str">
        <x:v>Mehrnousch Zaeri-Esfahani</x:v>
      </x:c>
      <x:c r="C56" s="20" t="str">
        <x:v>33 Bogen und ein Teehaus</x:v>
      </x:c>
      <x:c r="D56" s="20" t="n">
        <x:v>2016</x:v>
      </x:c>
      <x:c r="E56" s="20" t="n">
        <x:v>2018</x:v>
      </x:c>
      <x:c r="F56" s="20" t="str">
        <x:v>standalone work</x:v>
      </x:c>
      <x:c r="G56" s="59" t="str">
        <x:v>verified German-original</x:v>
      </x:c>
      <x:c r="H56" s="20" t="str">
        <x:v>AUTO_KEEP_PROVISIONAL</x:v>
      </x:c>
      <x:c r="I56" s="20" t="str"/>
      <x:c r="J56" s="20" t="str">
        <x:v>33 Bogen und ein Teehaus</x:v>
      </x:c>
      <x:c r="K56" s="20" t="n">
        <x:v>3</x:v>
      </x:c>
      <x:c r="L56" s="20" t="n">
        <x:v>2</x:v>
      </x:c>
      <x:c r="M56" s="20" t="n">
        <x:v>1</x:v>
      </x:c>
      <x:c r="N56" s="20" t="n">
        <x:v>0</x:v>
      </x:c>
      <x:c r="O56" s="20" t="str">
        <x:v>mehrnousch-zaeri-esfahan-83ae0b924f</x:v>
      </x:c>
      <x:c r="P56" s="20" t="str">
        <x:v>1062501705 | 1082289566 | 1156404932</x:v>
      </x:c>
      <x:c r="Q56" s="20" t="str">
        <x:v>K Kinder- und Jugendliteratur | 830 Deutsche Literatur | B Belletristik</x:v>
      </x:c>
      <x:c r="R56" s="20" t="str">
        <x:v>1. Auflage</x:v>
      </x:c>
      <x:c r="S56" s="20" t="str">
        <x:v>publisher biography</x:v>
      </x:c>
      <x:c r="T56" s="25" t="n">
        <x:v>46287.72917824074</x:v>
      </x:c>
    </x:row>
    <x:row r="57" ht="54" customHeight="1">
      <x:c r="A57" s="20" t="str">
        <x:v>work-a1f4d9e20396</x:v>
      </x:c>
      <x:c r="B57" s="20" t="str">
        <x:v>Mehrnousch Zaeri-Esfahani</x:v>
      </x:c>
      <x:c r="C57" s="20" t="str">
        <x:v>Das Mondmädchen</x:v>
      </x:c>
      <x:c r="D57" s="20" t="n">
        <x:v>2015</x:v>
      </x:c>
      <x:c r="E57" s="20" t="n">
        <x:v>2016</x:v>
      </x:c>
      <x:c r="F57" s="20" t="str">
        <x:v>standalone work</x:v>
      </x:c>
      <x:c r="G57" s="60" t="str">
        <x:v>provisional German-original</x:v>
      </x:c>
      <x:c r="H57" s="20" t="str">
        <x:v>AUTO_KEEP_PROVISIONAL</x:v>
      </x:c>
      <x:c r="I57" s="20" t="str"/>
      <x:c r="J57" s="20" t="str">
        <x:v>Das Mondmädchen</x:v>
      </x:c>
      <x:c r="K57" s="20" t="n">
        <x:v>2</x:v>
      </x:c>
      <x:c r="L57" s="20" t="n">
        <x:v>2</x:v>
      </x:c>
      <x:c r="M57" s="20" t="n">
        <x:v>0</x:v>
      </x:c>
      <x:c r="N57" s="20" t="n">
        <x:v>0</x:v>
      </x:c>
      <x:c r="O57" s="20" t="str">
        <x:v>mehrnousch-zaeri-esfahan-a024b29e5c</x:v>
      </x:c>
      <x:c r="P57" s="20" t="str">
        <x:v>1077261551 | 1079809813</x:v>
      </x:c>
      <x:c r="Q57" s="20" t="str">
        <x:v>K Kinder- und Jugendliteratur</x:v>
      </x:c>
      <x:c r="R57" s="20" t="str">
        <x:v>[1. Aufl.]</x:v>
      </x:c>
      <x:c r="S57" s="20" t="str"/>
      <x:c r="T57" s="25" t="n">
        <x:v>46287.72917824074</x:v>
      </x:c>
    </x:row>
    <x:row r="58" ht="54" customHeight="1">
      <x:c r="A58" s="20" t="str">
        <x:v>work-f13318138f82</x:v>
      </x:c>
      <x:c r="B58" s="20" t="str">
        <x:v>Mehrnousch Zaeri-Esfahani</x:v>
      </x:c>
      <x:c r="C58" s="20" t="str">
        <x:v>Ein Liekesch für Jascha</x:v>
      </x:c>
      <x:c r="D58" s="20" t="n">
        <x:v>2025</x:v>
      </x:c>
      <x:c r="E58" s="20" t="n">
        <x:v>2025</x:v>
      </x:c>
      <x:c r="F58" s="20" t="str">
        <x:v>co-authored work</x:v>
      </x:c>
      <x:c r="G58" s="60" t="str">
        <x:v>provisional German-original</x:v>
      </x:c>
      <x:c r="H58" s="52" t="str">
        <x:v>Queue: KEEP_ONE</x:v>
      </x:c>
      <x:c r="I58" s="20" t="str">
        <x:v>Zaeri-Esfahani and Frauke Angel are both named as authors. Barbara Jung is the illustrator, so I counted this as one co-authored work.</x:v>
      </x:c>
      <x:c r="J58" s="20" t="str">
        <x:v>Ein Liekesch für Jascha</x:v>
      </x:c>
      <x:c r="K58" s="20" t="n">
        <x:v>1</x:v>
      </x:c>
      <x:c r="L58" s="20" t="n">
        <x:v>1</x:v>
      </x:c>
      <x:c r="M58" s="20" t="n">
        <x:v>0</x:v>
      </x:c>
      <x:c r="N58" s="20" t="n">
        <x:v>0</x:v>
      </x:c>
      <x:c r="O58" s="20" t="str">
        <x:v>mehrnousch-zaeri-esfahan-1e437aa548</x:v>
      </x:c>
      <x:c r="P58" s="20" t="str">
        <x:v>1345703317</x:v>
      </x:c>
      <x:c r="Q58" s="20" t="str">
        <x:v>K Kinder- und Jugendliteratur</x:v>
      </x:c>
      <x:c r="R58" s="20" t="str">
        <x:v>1. Auflage</x:v>
      </x:c>
      <x:c r="S58" s="20" t="str"/>
      <x:c r="T58" s="25" t="n">
        <x:v>46287.72917824074</x:v>
      </x:c>
    </x:row>
    <x:row r="59" ht="54" customHeight="1">
      <x:c r="A59" s="20" t="str">
        <x:v>work-5fe149396366</x:v>
      </x:c>
      <x:c r="B59" s="20" t="str">
        <x:v>Mehrnousch Zaeri-Esfahani</x:v>
      </x:c>
      <x:c r="C59" s="20" t="str">
        <x:v>Mage mishe? (in: Wer tanzt schon gern allein?)</x:v>
      </x:c>
      <x:c r="D59" s="20" t="n">
        <x:v>2020</x:v>
      </x:c>
      <x:c r="E59" s="20" t="n">
        <x:v>2020</x:v>
      </x:c>
      <x:c r="F59" s="20" t="str">
        <x:v>anthology contribution</x:v>
      </x:c>
      <x:c r="G59" s="60" t="str">
        <x:v>provisional German-original</x:v>
      </x:c>
      <x:c r="H59" s="52" t="str">
        <x:v>Queue: KEEP_ONE</x:v>
      </x:c>
      <x:c r="I59" s="20" t="str">
        <x:v>DNB lists Zaeri-Esfahani as one of several authors. Her author profile confirms that her contribution is ‘Mage mishe?’, so I counted her contribution and not the whole anthology.</x:v>
      </x:c>
      <x:c r="J59" s="20" t="str">
        <x:v>Wer tanzt schon gern allein? : Bilder, Geschichten und Gedichte zur Demokratie</x:v>
      </x:c>
      <x:c r="K59" s="20" t="n">
        <x:v>1</x:v>
      </x:c>
      <x:c r="L59" s="20" t="n">
        <x:v>1</x:v>
      </x:c>
      <x:c r="M59" s="20" t="n">
        <x:v>0</x:v>
      </x:c>
      <x:c r="N59" s="20" t="n">
        <x:v>0</x:v>
      </x:c>
      <x:c r="O59" s="20" t="str">
        <x:v>mehrnousch-zaeri-esfahan-4d71bca831</x:v>
      </x:c>
      <x:c r="P59" s="20" t="str">
        <x:v>1199560677</x:v>
      </x:c>
      <x:c r="Q59" s="20" t="str">
        <x:v>K Kinder- und Jugendliteratur</x:v>
      </x:c>
      <x:c r="R59" s="20" t="str">
        <x:v>[1. Auflage]</x:v>
      </x:c>
      <x:c r="S59" s="20" t="str"/>
      <x:c r="T59" s="25" t="n">
        <x:v>46287.72917824074</x:v>
      </x:c>
    </x:row>
    <x:row r="60" ht="54" customHeight="1">
      <x:c r="A60" s="20" t="str">
        <x:v>work-4fde97f4b7c0</x:v>
      </x:c>
      <x:c r="B60" s="20" t="str">
        <x:v>Mehrnousch Zaeri-Esfahani</x:v>
      </x:c>
      <x:c r="C60" s="20" t="str">
        <x:v>Wenn das so einfach wäre</x:v>
      </x:c>
      <x:c r="D60" s="20" t="n">
        <x:v>2018</x:v>
      </x:c>
      <x:c r="E60" s="20" t="n">
        <x:v>2018</x:v>
      </x:c>
      <x:c r="F60" s="20" t="str">
        <x:v>standalone work</x:v>
      </x:c>
      <x:c r="G60" s="60" t="str">
        <x:v>provisional German-original</x:v>
      </x:c>
      <x:c r="H60" s="52" t="str">
        <x:v>Queue: KEEP_ONE</x:v>
      </x:c>
      <x:c r="I60" s="20" t="str">
        <x:v>This is one German-Persian book. The record says the Persian text was translated from German, so I counted it as one German-original work.</x:v>
      </x:c>
      <x:c r="J60" s="20" t="str">
        <x:v>Wenn das so einfach wäre = Kāš bih hamīn rāḥatī būd</x:v>
      </x:c>
      <x:c r="K60" s="20" t="n">
        <x:v>1</x:v>
      </x:c>
      <x:c r="L60" s="20" t="n">
        <x:v>1</x:v>
      </x:c>
      <x:c r="M60" s="20" t="n">
        <x:v>0</x:v>
      </x:c>
      <x:c r="N60" s="20" t="n">
        <x:v>0</x:v>
      </x:c>
      <x:c r="O60" s="20" t="str">
        <x:v>mehrnousch-zaeri-esfahan-3359dab2ae</x:v>
      </x:c>
      <x:c r="P60" s="20" t="str">
        <x:v>1189945584</x:v>
      </x:c>
      <x:c r="Q60" s="20" t="str">
        <x:v>K Kinder- und Jugendliteratur</x:v>
      </x:c>
      <x:c r="R60" s="20" t="str"/>
      <x:c r="S60" s="20" t="str"/>
      <x:c r="T60" s="25" t="n">
        <x:v>46287.72917824074</x:v>
      </x:c>
    </x:row>
    <x:row r="61" ht="54" customHeight="1">
      <x:c r="A61" s="20" t="str">
        <x:v>work-e67dd65d2510</x:v>
      </x:c>
      <x:c r="B61" s="20" t="str">
        <x:v>Mehrnousch Zaeri-Esfahani</x:v>
      </x:c>
      <x:c r="C61" s="20" t="str">
        <x:v>Wenn das so einfach wäre</x:v>
      </x:c>
      <x:c r="D61" s="20" t="n">
        <x:v>2024</x:v>
      </x:c>
      <x:c r="E61" s="20" t="n">
        <x:v>2024</x:v>
      </x:c>
      <x:c r="F61" s="20" t="str">
        <x:v>standalone work</x:v>
      </x:c>
      <x:c r="G61" s="60" t="str">
        <x:v>provisional German-original</x:v>
      </x:c>
      <x:c r="H61" s="20" t="str">
        <x:v>AUTO_KEEP_PROVISIONAL</x:v>
      </x:c>
      <x:c r="I61" s="20" t="str"/>
      <x:c r="J61" s="20" t="str">
        <x:v>[Wenn das so einfach wäre] ; Einfach Mensch</x:v>
      </x:c>
      <x:c r="K61" s="20" t="n">
        <x:v>1</x:v>
      </x:c>
      <x:c r="L61" s="20" t="n">
        <x:v>1</x:v>
      </x:c>
      <x:c r="M61" s="20" t="n">
        <x:v>0</x:v>
      </x:c>
      <x:c r="N61" s="20" t="n">
        <x:v>0</x:v>
      </x:c>
      <x:c r="O61" s="20" t="str">
        <x:v>mehrnousch-zaeri-esfahan-03bae56829</x:v>
      </x:c>
      <x:c r="P61" s="20" t="str">
        <x:v>1337915203</x:v>
      </x:c>
      <x:c r="Q61" s="20" t="str">
        <x:v>K Kinder- und Jugendliteratur</x:v>
      </x:c>
      <x:c r="R61" s="20" t="str">
        <x:v>1. Auflage</x:v>
      </x:c>
      <x:c r="S61" s="20" t="str"/>
      <x:c r="T61" s="25" t="n">
        <x:v>46287.72917824074</x:v>
      </x:c>
    </x:row>
    <x:row r="62" ht="54" customHeight="1">
      <x:c r="A62" s="20" t="str">
        <x:v>work-eeaa7ab8d440</x:v>
      </x:c>
      <x:c r="B62" s="20" t="str">
        <x:v>Nasrin Siege</x:v>
      </x:c>
      <x:c r="C62" s="20" t="str">
        <x:v>Als die Elefanten kamen</x:v>
      </x:c>
      <x:c r="D62" s="20" t="n">
        <x:v>2001</x:v>
      </x:c>
      <x:c r="E62" s="20" t="n">
        <x:v>2001</x:v>
      </x:c>
      <x:c r="F62" s="20" t="str">
        <x:v>standalone work</x:v>
      </x:c>
      <x:c r="G62" s="60" t="str">
        <x:v>provisional German-original</x:v>
      </x:c>
      <x:c r="H62" s="20" t="str">
        <x:v>AUTO_KEEP_PROVISIONAL</x:v>
      </x:c>
      <x:c r="I62" s="20" t="str"/>
      <x:c r="J62" s="20" t="str">
        <x:v>Als die Elefanten kamen : Roman</x:v>
      </x:c>
      <x:c r="K62" s="20" t="n">
        <x:v>1</x:v>
      </x:c>
      <x:c r="L62" s="20" t="n">
        <x:v>1</x:v>
      </x:c>
      <x:c r="M62" s="20" t="n">
        <x:v>0</x:v>
      </x:c>
      <x:c r="N62" s="20" t="n">
        <x:v>0</x:v>
      </x:c>
      <x:c r="O62" s="20" t="str">
        <x:v>nasrin-siege-0a3af218c8</x:v>
      </x:c>
      <x:c r="P62" s="20" t="str">
        <x:v>962830313</x:v>
      </x:c>
      <x:c r="Q62" s="20" t="str">
        <x:v>07 Kinder- und Jugendliteratur</x:v>
      </x:c>
      <x:c r="R62" s="20" t="str">
        <x:v>Orig.-Ausg</x:v>
      </x:c>
      <x:c r="S62" s="20" t="str"/>
      <x:c r="T62" s="25" t="n">
        <x:v>46287.72917824074</x:v>
      </x:c>
    </x:row>
    <x:row r="63" ht="54" customHeight="1">
      <x:c r="A63" s="20" t="str">
        <x:v>work-3ff33fe53dff</x:v>
      </x:c>
      <x:c r="B63" s="20" t="str">
        <x:v>Nasrin Siege</x:v>
      </x:c>
      <x:c r="C63" s="20" t="str">
        <x:v>Asni</x:v>
      </x:c>
      <x:c r="D63" s="20" t="n">
        <x:v>2020</x:v>
      </x:c>
      <x:c r="E63" s="20" t="n">
        <x:v>2020</x:v>
      </x:c>
      <x:c r="F63" s="20" t="str">
        <x:v>standalone work</x:v>
      </x:c>
      <x:c r="G63" s="60" t="str">
        <x:v>provisional German-original</x:v>
      </x:c>
      <x:c r="H63" s="20" t="str">
        <x:v>AUTO_KEEP_PROVISIONAL</x:v>
      </x:c>
      <x:c r="I63" s="20" t="str"/>
      <x:c r="J63" s="20" t="str">
        <x:v>Asni</x:v>
      </x:c>
      <x:c r="K63" s="20" t="n">
        <x:v>2</x:v>
      </x:c>
      <x:c r="L63" s="20" t="n">
        <x:v>1</x:v>
      </x:c>
      <x:c r="M63" s="20" t="n">
        <x:v>1</x:v>
      </x:c>
      <x:c r="N63" s="20" t="n">
        <x:v>0</x:v>
      </x:c>
      <x:c r="O63" s="20" t="str">
        <x:v>nasrin-siege-3ff33fe53d</x:v>
      </x:c>
      <x:c r="P63" s="20" t="str">
        <x:v>120043059X | 1207465321</x:v>
      </x:c>
      <x:c r="Q63" s="20" t="str">
        <x:v>830 Deutsche Literatur | B Belletristik</x:v>
      </x:c>
      <x:c r="R63" s="20" t="str"/>
      <x:c r="S63" s="20" t="str"/>
      <x:c r="T63" s="25" t="n">
        <x:v>46287.72917824074</x:v>
      </x:c>
    </x:row>
    <x:row r="64" ht="54" customHeight="1">
      <x:c r="A64" s="20" t="str">
        <x:v>work-7f70aaaf3dae</x:v>
      </x:c>
      <x:c r="B64" s="20" t="str">
        <x:v>Nasrin Siege</x:v>
      </x:c>
      <x:c r="C64" s="20" t="str">
        <x:v>Der Honigvogel</x:v>
      </x:c>
      <x:c r="D64" s="20" t="n">
        <x:v>2016</x:v>
      </x:c>
      <x:c r="E64" s="20" t="n">
        <x:v>2025</x:v>
      </x:c>
      <x:c r="F64" s="20" t="str">
        <x:v>standalone work</x:v>
      </x:c>
      <x:c r="G64" s="60" t="str">
        <x:v>provisional German-original</x:v>
      </x:c>
      <x:c r="H64" s="20" t="str">
        <x:v>AUTO_KEEP_PROVISIONAL</x:v>
      </x:c>
      <x:c r="I64" s="20" t="str"/>
      <x:c r="J64" s="20" t="str">
        <x:v>Der Honigvogel : Geschichten aus Afrika</x:v>
      </x:c>
      <x:c r="K64" s="20" t="n">
        <x:v>2</x:v>
      </x:c>
      <x:c r="L64" s="20" t="n">
        <x:v>2</x:v>
      </x:c>
      <x:c r="M64" s="20" t="n">
        <x:v>0</x:v>
      </x:c>
      <x:c r="N64" s="20" t="n">
        <x:v>0</x:v>
      </x:c>
      <x:c r="O64" s="20" t="str">
        <x:v>nasrin-siege-bcb0dc4a87</x:v>
      </x:c>
      <x:c r="P64" s="20" t="str">
        <x:v>1088786618 | 1363232169</x:v>
      </x:c>
      <x:c r="Q64" s="20" t="str">
        <x:v>K Kinder- und Jugendliteratur</x:v>
      </x:c>
      <x:c r="R64" s="20" t="str">
        <x:v>2. Auflage | Neuauflage</x:v>
      </x:c>
      <x:c r="S64" s="20" t="str"/>
      <x:c r="T64" s="25" t="n">
        <x:v>46287.72917824074</x:v>
      </x:c>
    </x:row>
    <x:row r="65" ht="54" customHeight="1">
      <x:c r="A65" s="20" t="str">
        <x:v>work-ae1f73f7a558</x:v>
      </x:c>
      <x:c r="B65" s="20" t="str">
        <x:v>Nasrin Siege</x:v>
      </x:c>
      <x:c r="C65" s="20" t="str">
        <x:v>Der Tag des Regenbogens</x:v>
      </x:c>
      <x:c r="D65" s="20" t="n">
        <x:v>1995</x:v>
      </x:c>
      <x:c r="E65" s="20" t="n">
        <x:v>1995</x:v>
      </x:c>
      <x:c r="F65" s="20" t="str">
        <x:v>standalone work</x:v>
      </x:c>
      <x:c r="G65" s="60" t="str">
        <x:v>provisional German-original</x:v>
      </x:c>
      <x:c r="H65" s="20" t="str">
        <x:v>AUTO_KEEP_PROVISIONAL</x:v>
      </x:c>
      <x:c r="I65" s="20" t="str"/>
      <x:c r="J65" s="20" t="str">
        <x:v>Der Tag des Regenbogens : Märchen, Mythen und Geschichten</x:v>
      </x:c>
      <x:c r="K65" s="20" t="n">
        <x:v>1</x:v>
      </x:c>
      <x:c r="L65" s="20" t="n">
        <x:v>1</x:v>
      </x:c>
      <x:c r="M65" s="20" t="n">
        <x:v>0</x:v>
      </x:c>
      <x:c r="N65" s="20" t="n">
        <x:v>0</x:v>
      </x:c>
      <x:c r="O65" s="20" t="str">
        <x:v>nasrin-siege-a001a39a79</x:v>
      </x:c>
      <x:c r="P65" s="20" t="str">
        <x:v>944114369</x:v>
      </x:c>
      <x:c r="Q65" s="20" t="str">
        <x:v>59 Belletristik</x:v>
      </x:c>
      <x:c r="R65" s="20" t="str">
        <x:v>1. Aufl</x:v>
      </x:c>
      <x:c r="S65" s="20" t="str"/>
      <x:c r="T65" s="25" t="n">
        <x:v>46287.72917824074</x:v>
      </x:c>
    </x:row>
    <x:row r="66" ht="54" customHeight="1">
      <x:c r="A66" s="20" t="str">
        <x:v>work-5a554dfc96dd</x:v>
      </x:c>
      <x:c r="B66" s="20" t="str">
        <x:v>Nasrin Siege</x:v>
      </x:c>
      <x:c r="C66" s="20" t="str">
        <x:v>Die Piraten von Libertalia</x:v>
      </x:c>
      <x:c r="D66" s="20" t="n">
        <x:v>2009</x:v>
      </x:c>
      <x:c r="E66" s="20" t="n">
        <x:v>2022</x:v>
      </x:c>
      <x:c r="F66" s="20" t="str">
        <x:v>standalone work</x:v>
      </x:c>
      <x:c r="G66" s="60" t="str">
        <x:v>provisional German-original</x:v>
      </x:c>
      <x:c r="H66" s="52" t="str">
        <x:v>Queue: KEEP_ONE</x:v>
      </x:c>
      <x:c r="I66" s="20" t="str">
        <x:v>The title stays the same in all three records. The records show different editions and page counts, but no clear evidence of a substantially new text, so I counted one work.</x:v>
      </x:c>
      <x:c r="J66" s="20" t="str">
        <x:v>Die Piraten von Libertalia | Die Piraten von Libertalia : Roman</x:v>
      </x:c>
      <x:c r="K66" s="20" t="n">
        <x:v>3</x:v>
      </x:c>
      <x:c r="L66" s="20" t="n">
        <x:v>3</x:v>
      </x:c>
      <x:c r="M66" s="20" t="n">
        <x:v>0</x:v>
      </x:c>
      <x:c r="N66" s="20" t="n">
        <x:v>0</x:v>
      </x:c>
      <x:c r="O66" s="20" t="str">
        <x:v>nasrin-siege-5a554dfc96 | nasrin-siege-fb8f3d3988</x:v>
      </x:c>
      <x:c r="P66" s="20" t="str">
        <x:v>1176982370 | 1252644671 | 991317602</x:v>
      </x:c>
      <x:c r="Q66" s="20" t="str">
        <x:v>830 Deutsche Literatur | B Belletristik | K Kinder- und Jugendliteratur</x:v>
      </x:c>
      <x:c r="R66" s="20" t="str">
        <x:v>1. Auflage</x:v>
      </x:c>
      <x:c r="S66" s="20" t="str"/>
      <x:c r="T66" s="25" t="n">
        <x:v>46287.72917824074</x:v>
      </x:c>
    </x:row>
    <x:row r="67" ht="54" customHeight="1">
      <x:c r="A67" s="20" t="str">
        <x:v>work-495062d2bb77</x:v>
      </x:c>
      <x:c r="B67" s="20" t="str">
        <x:v>Nasrin Siege</x:v>
      </x:c>
      <x:c r="C67" s="20" t="str">
        <x:v>Die Spur des Elefanten</x:v>
      </x:c>
      <x:c r="D67" s="20" t="n">
        <x:v>2014</x:v>
      </x:c>
      <x:c r="E67" s="20" t="n">
        <x:v>2014</x:v>
      </x:c>
      <x:c r="F67" s="20" t="str">
        <x:v>standalone work</x:v>
      </x:c>
      <x:c r="G67" s="60" t="str">
        <x:v>provisional German-original</x:v>
      </x:c>
      <x:c r="H67" s="20" t="str">
        <x:v>AUTO_KEEP_PROVISIONAL</x:v>
      </x:c>
      <x:c r="I67" s="20" t="str"/>
      <x:c r="J67" s="20" t="str">
        <x:v>Die Spur des Elefanten</x:v>
      </x:c>
      <x:c r="K67" s="20" t="n">
        <x:v>1</x:v>
      </x:c>
      <x:c r="L67" s="20" t="n">
        <x:v>1</x:v>
      </x:c>
      <x:c r="M67" s="20" t="n">
        <x:v>0</x:v>
      </x:c>
      <x:c r="N67" s="20" t="n">
        <x:v>0</x:v>
      </x:c>
      <x:c r="O67" s="20" t="str">
        <x:v>nasrin-siege-495062d2bb</x:v>
      </x:c>
      <x:c r="P67" s="20" t="str">
        <x:v>104524063X</x:v>
      </x:c>
      <x:c r="Q67" s="20" t="str">
        <x:v>K Kinder- und Jugendliteratur</x:v>
      </x:c>
      <x:c r="R67" s="20" t="str"/>
      <x:c r="S67" s="20" t="str"/>
      <x:c r="T67" s="25" t="n">
        <x:v>46287.72917824074</x:v>
      </x:c>
    </x:row>
    <x:row r="68" ht="54" customHeight="1">
      <x:c r="A68" s="20" t="str">
        <x:v>work-7afd9846411f</x:v>
      </x:c>
      <x:c r="B68" s="20" t="str">
        <x:v>Nasrin Siege</x:v>
      </x:c>
      <x:c r="C68" s="20" t="str">
        <x:v>Hyänen im hohen Gras</x:v>
      </x:c>
      <x:c r="D68" s="20" t="n">
        <x:v>2004</x:v>
      </x:c>
      <x:c r="E68" s="20" t="n">
        <x:v>2004</x:v>
      </x:c>
      <x:c r="F68" s="20" t="str">
        <x:v>standalone work</x:v>
      </x:c>
      <x:c r="G68" s="60" t="str">
        <x:v>provisional German-original</x:v>
      </x:c>
      <x:c r="H68" s="20" t="str">
        <x:v>AUTO_KEEP_PROVISIONAL</x:v>
      </x:c>
      <x:c r="I68" s="20" t="str"/>
      <x:c r="J68" s="20" t="str">
        <x:v>Hyänen im hohen Gras : Spuren in der Serengeti ; Erzählung</x:v>
      </x:c>
      <x:c r="K68" s="20" t="n">
        <x:v>1</x:v>
      </x:c>
      <x:c r="L68" s="20" t="n">
        <x:v>1</x:v>
      </x:c>
      <x:c r="M68" s="20" t="n">
        <x:v>0</x:v>
      </x:c>
      <x:c r="N68" s="20" t="n">
        <x:v>0</x:v>
      </x:c>
      <x:c r="O68" s="20" t="str">
        <x:v>nasrin-siege-3c309e32a4</x:v>
      </x:c>
      <x:c r="P68" s="20" t="str">
        <x:v>971458839</x:v>
      </x:c>
      <x:c r="Q68" s="20" t="str">
        <x:v>K Kinder- und Jugendliteratur</x:v>
      </x:c>
      <x:c r="R68" s="20" t="str">
        <x:v>1. Aufl</x:v>
      </x:c>
      <x:c r="S68" s="20" t="str"/>
      <x:c r="T68" s="25" t="n">
        <x:v>46287.72917824074</x:v>
      </x:c>
    </x:row>
    <x:row r="69" ht="54" customHeight="1">
      <x:c r="A69" s="20" t="str">
        <x:v>work-4bc800290b60</x:v>
      </x:c>
      <x:c r="B69" s="20" t="str">
        <x:v>Nasrin Siege</x:v>
      </x:c>
      <x:c r="C69" s="20" t="str">
        <x:v>Ich kehre zurück, Dadabé</x:v>
      </x:c>
      <x:c r="D69" s="20" t="n">
        <x:v>2011</x:v>
      </x:c>
      <x:c r="E69" s="20" t="n">
        <x:v>2018</x:v>
      </x:c>
      <x:c r="F69" s="20" t="str">
        <x:v>standalone work</x:v>
      </x:c>
      <x:c r="G69" s="60" t="str">
        <x:v>provisional German-original</x:v>
      </x:c>
      <x:c r="H69" s="20" t="str">
        <x:v>AUTO_KEEP_PROVISIONAL</x:v>
      </x:c>
      <x:c r="I69" s="20" t="str"/>
      <x:c r="J69" s="20" t="str">
        <x:v>"Ich kehre zurück, Dadabé" : die Geschichte eines madagassischen Mädchens</x:v>
      </x:c>
      <x:c r="K69" s="20" t="n">
        <x:v>2</x:v>
      </x:c>
      <x:c r="L69" s="20" t="n">
        <x:v>2</x:v>
      </x:c>
      <x:c r="M69" s="20" t="n">
        <x:v>0</x:v>
      </x:c>
      <x:c r="N69" s="20" t="n">
        <x:v>0</x:v>
      </x:c>
      <x:c r="O69" s="20" t="str">
        <x:v>nasrin-siege-18857a3b01</x:v>
      </x:c>
      <x:c r="P69" s="20" t="str">
        <x:v>101163466X | 1176686070</x:v>
      </x:c>
      <x:c r="Q69" s="20" t="str">
        <x:v>830 Deutsche Literatur | B Belletristik</x:v>
      </x:c>
      <x:c r="R69" s="20" t="str">
        <x:v>1. Aufl | 2. Auflage</x:v>
      </x:c>
      <x:c r="S69" s="20" t="str"/>
      <x:c r="T69" s="25" t="n">
        <x:v>46287.72917824074</x:v>
      </x:c>
    </x:row>
    <x:row r="70" ht="54" customHeight="1">
      <x:c r="A70" s="20" t="str">
        <x:v>work-42870c19b612</x:v>
      </x:c>
      <x:c r="B70" s="20" t="str">
        <x:v>Nasrin Siege</x:v>
      </x:c>
      <x:c r="C70" s="20" t="str">
        <x:v>Juma: Ein Straßenkind aus Tansania</x:v>
      </x:c>
      <x:c r="D70" s="20" t="n">
        <x:v>2015</x:v>
      </x:c>
      <x:c r="E70" s="20" t="n">
        <x:v>2025</x:v>
      </x:c>
      <x:c r="F70" s="20" t="str">
        <x:v>standalone work</x:v>
      </x:c>
      <x:c r="G70" s="60" t="str">
        <x:v>provisional German-original</x:v>
      </x:c>
      <x:c r="H70" s="52" t="str">
        <x:v>Queue: KEEP_ONE</x:v>
      </x:c>
      <x:c r="I70" s="20" t="str">
        <x:v>The records have the same title. One is an e-book and the other is a later print edition, so I counted one work.</x:v>
      </x:c>
      <x:c r="J70" s="20" t="str">
        <x:v>Juma : Ein Straßenkind aus Tansania | Juma : ein Straßenkind aus Tansania : Roman</x:v>
      </x:c>
      <x:c r="K70" s="20" t="n">
        <x:v>2</x:v>
      </x:c>
      <x:c r="L70" s="20" t="n">
        <x:v>1</x:v>
      </x:c>
      <x:c r="M70" s="20" t="n">
        <x:v>1</x:v>
      </x:c>
      <x:c r="N70" s="20" t="n">
        <x:v>0</x:v>
      </x:c>
      <x:c r="O70" s="20" t="str">
        <x:v>nasrin-siege-35d70d1e76 | nasrin-siege-ca3988a5e4</x:v>
      </x:c>
      <x:c r="P70" s="20" t="str">
        <x:v>1070905445 | 1367659213</x:v>
      </x:c>
      <x:c r="Q70" s="20" t="str">
        <x:v>K Kinder- und Jugendliteratur</x:v>
      </x:c>
      <x:c r="R70" s="20" t="str">
        <x:v>1. Aufl | Neuausgabe</x:v>
      </x:c>
      <x:c r="S70" s="20" t="str"/>
      <x:c r="T70" s="25" t="n">
        <x:v>46287.72917824074</x:v>
      </x:c>
    </x:row>
    <x:row r="71" ht="54" customHeight="1">
      <x:c r="A71" s="20" t="str">
        <x:v>work-ad0a53168c7c</x:v>
      </x:c>
      <x:c r="B71" s="20" t="str">
        <x:v>Nasrin Siege</x:v>
      </x:c>
      <x:c r="C71" s="20" t="str">
        <x:v>Mama Baobab</x:v>
      </x:c>
      <x:c r="D71" s="20" t="n">
        <x:v>2023</x:v>
      </x:c>
      <x:c r="E71" s="20" t="n">
        <x:v>2023</x:v>
      </x:c>
      <x:c r="F71" s="20" t="str">
        <x:v>standalone work</x:v>
      </x:c>
      <x:c r="G71" s="60" t="str">
        <x:v>provisional German-original</x:v>
      </x:c>
      <x:c r="H71" s="20" t="str">
        <x:v>AUTO_KEEP_PROVISIONAL</x:v>
      </x:c>
      <x:c r="I71" s="20" t="str"/>
      <x:c r="J71" s="20" t="str">
        <x:v>Mama Baobab</x:v>
      </x:c>
      <x:c r="K71" s="20" t="n">
        <x:v>1</x:v>
      </x:c>
      <x:c r="L71" s="20" t="n">
        <x:v>1</x:v>
      </x:c>
      <x:c r="M71" s="20" t="n">
        <x:v>0</x:v>
      </x:c>
      <x:c r="N71" s="20" t="n">
        <x:v>0</x:v>
      </x:c>
      <x:c r="O71" s="20" t="str">
        <x:v>nasrin-siege-ad0a53168c</x:v>
      </x:c>
      <x:c r="P71" s="20" t="str">
        <x:v>1275515347</x:v>
      </x:c>
      <x:c r="Q71" s="20" t="str">
        <x:v>K Kinder- und Jugendliteratur</x:v>
      </x:c>
      <x:c r="R71" s="20" t="str"/>
      <x:c r="S71" s="20" t="str"/>
      <x:c r="T71" s="25" t="n">
        <x:v>46287.72917824074</x:v>
      </x:c>
    </x:row>
    <x:row r="72" ht="54" customHeight="1">
      <x:c r="A72" s="20" t="str">
        <x:v>work-2253f759243c</x:v>
      </x:c>
      <x:c r="B72" s="20" t="str">
        <x:v>Nasrin Siege</x:v>
      </x:c>
      <x:c r="C72" s="20" t="str">
        <x:v>Mama Weihnacht</x:v>
      </x:c>
      <x:c r="D72" s="20" t="n">
        <x:v>2022</x:v>
      </x:c>
      <x:c r="E72" s="20" t="n">
        <x:v>2022</x:v>
      </x:c>
      <x:c r="F72" s="20" t="str">
        <x:v>standalone work</x:v>
      </x:c>
      <x:c r="G72" s="60" t="str">
        <x:v>provisional German-original</x:v>
      </x:c>
      <x:c r="H72" s="20" t="str">
        <x:v>AUTO_KEEP_PROVISIONAL</x:v>
      </x:c>
      <x:c r="I72" s="20" t="str"/>
      <x:c r="J72" s="20" t="str">
        <x:v>Mama Weihnacht</x:v>
      </x:c>
      <x:c r="K72" s="20" t="n">
        <x:v>1</x:v>
      </x:c>
      <x:c r="L72" s="20" t="n">
        <x:v>1</x:v>
      </x:c>
      <x:c r="M72" s="20" t="n">
        <x:v>0</x:v>
      </x:c>
      <x:c r="N72" s="20" t="n">
        <x:v>0</x:v>
      </x:c>
      <x:c r="O72" s="20" t="str">
        <x:v>nasrin-siege-2253f75924</x:v>
      </x:c>
      <x:c r="P72" s="20" t="str">
        <x:v>1273623010</x:v>
      </x:c>
      <x:c r="Q72" s="20" t="str">
        <x:v>K Kinder- und Jugendliteratur</x:v>
      </x:c>
      <x:c r="R72" s="20" t="str">
        <x:v>1. Auflage</x:v>
      </x:c>
      <x:c r="S72" s="20" t="str"/>
      <x:c r="T72" s="25" t="n">
        <x:v>46287.72917824074</x:v>
      </x:c>
    </x:row>
    <x:row r="73" ht="54" customHeight="1">
      <x:c r="A73" s="20" t="str">
        <x:v>work-9d8d2df25308</x:v>
      </x:c>
      <x:c r="B73" s="20" t="str">
        <x:v>Nasrin Siege</x:v>
      </x:c>
      <x:c r="C73" s="20" t="str">
        <x:v>Mandeln und Rosinen</x:v>
      </x:c>
      <x:c r="D73" s="20" t="n">
        <x:v>2022</x:v>
      </x:c>
      <x:c r="E73" s="20" t="n">
        <x:v>2022</x:v>
      </x:c>
      <x:c r="F73" s="20" t="str">
        <x:v>standalone work</x:v>
      </x:c>
      <x:c r="G73" s="60" t="str">
        <x:v>provisional German-original</x:v>
      </x:c>
      <x:c r="H73" s="20" t="str">
        <x:v>AUTO_KEEP_PROVISIONAL</x:v>
      </x:c>
      <x:c r="I73" s="20" t="str"/>
      <x:c r="J73" s="20" t="str">
        <x:v>Mandeln und Rosinen</x:v>
      </x:c>
      <x:c r="K73" s="20" t="n">
        <x:v>1</x:v>
      </x:c>
      <x:c r="L73" s="20" t="n">
        <x:v>1</x:v>
      </x:c>
      <x:c r="M73" s="20" t="n">
        <x:v>0</x:v>
      </x:c>
      <x:c r="N73" s="20" t="n">
        <x:v>0</x:v>
      </x:c>
      <x:c r="O73" s="20" t="str">
        <x:v>nasrin-siege-9d8d2df253</x:v>
      </x:c>
      <x:c r="P73" s="20" t="str">
        <x:v>1264237421</x:v>
      </x:c>
      <x:c r="Q73" s="20" t="str">
        <x:v>830 Deutsche Literatur | B Belletristik</x:v>
      </x:c>
      <x:c r="R73" s="20" t="str">
        <x:v>1. Auflage</x:v>
      </x:c>
      <x:c r="S73" s="20" t="str"/>
      <x:c r="T73" s="25" t="n">
        <x:v>46287.72917824074</x:v>
      </x:c>
    </x:row>
    <x:row r="74" ht="54" customHeight="1">
      <x:c r="A74" s="20" t="str">
        <x:v>work-b800a7702ef0</x:v>
      </x:c>
      <x:c r="B74" s="20" t="str">
        <x:v>Nasrin Siege</x:v>
      </x:c>
      <x:c r="C74" s="20" t="str">
        <x:v>Morgen kommt die Hyäne zum Essen</x:v>
      </x:c>
      <x:c r="D74" s="20" t="n">
        <x:v>2019</x:v>
      </x:c>
      <x:c r="E74" s="20" t="n">
        <x:v>2019</x:v>
      </x:c>
      <x:c r="F74" s="20" t="str">
        <x:v>standalone work</x:v>
      </x:c>
      <x:c r="G74" s="60" t="str">
        <x:v>provisional German-original</x:v>
      </x:c>
      <x:c r="H74" s="20" t="str">
        <x:v>AUTO_KEEP_PROVISIONAL</x:v>
      </x:c>
      <x:c r="I74" s="20" t="str"/>
      <x:c r="J74" s="20" t="str">
        <x:v>Morgen kommt die Hyäne zum Essen : afrikanische Tiergeschichten</x:v>
      </x:c>
      <x:c r="K74" s="20" t="n">
        <x:v>1</x:v>
      </x:c>
      <x:c r="L74" s="20" t="n">
        <x:v>1</x:v>
      </x:c>
      <x:c r="M74" s="20" t="n">
        <x:v>0</x:v>
      </x:c>
      <x:c r="N74" s="20" t="n">
        <x:v>0</x:v>
      </x:c>
      <x:c r="O74" s="20" t="str">
        <x:v>nasrin-siege-2e76aa6844</x:v>
      </x:c>
      <x:c r="P74" s="20" t="str">
        <x:v>1170255833</x:v>
      </x:c>
      <x:c r="Q74" s="20" t="str">
        <x:v>K Kinder- und Jugendliteratur</x:v>
      </x:c>
      <x:c r="R74" s="20" t="str"/>
      <x:c r="S74" s="20" t="str"/>
      <x:c r="T74" s="25" t="n">
        <x:v>46287.72917824074</x:v>
      </x:c>
    </x:row>
    <x:row r="75" ht="54" customHeight="1">
      <x:c r="A75" s="20" t="str">
        <x:v>work-18f3477fd33e-1996</x:v>
      </x:c>
      <x:c r="B75" s="20" t="str">
        <x:v>Nasrin Siege</x:v>
      </x:c>
      <x:c r="C75" s="20" t="str">
        <x:v>Shirin</x:v>
      </x:c>
      <x:c r="D75" s="20" t="n">
        <x:v>1996</x:v>
      </x:c>
      <x:c r="E75" s="20" t="n">
        <x:v>1996</x:v>
      </x:c>
      <x:c r="F75" s="20" t="str">
        <x:v>standalone work</x:v>
      </x:c>
      <x:c r="G75" s="60" t="str">
        <x:v>provisional German-original</x:v>
      </x:c>
      <x:c r="H75" s="52" t="str">
        <x:v>Queue: SPLIT (1996 version)</x:v>
      </x:c>
      <x:c r="I75" s="20" t="str">
        <x:v>Nasrin Siege’s website calls the 2015 book an ‘überarbeitete Neufassung’. I counted the 1996 version and the 2015 new version separately.</x:v>
      </x:c>
      <x:c r="J75" s="20" t="str">
        <x:v>Shirin : Roman</x:v>
      </x:c>
      <x:c r="K75" s="20" t="n">
        <x:v>1</x:v>
      </x:c>
      <x:c r="L75" s="20" t="n">
        <x:v>1</x:v>
      </x:c>
      <x:c r="M75" s="20" t="n">
        <x:v>0</x:v>
      </x:c>
      <x:c r="N75" s="20" t="n">
        <x:v>0</x:v>
      </x:c>
      <x:c r="O75" s="20" t="str">
        <x:v>nasrin-siege-2d75d2a687</x:v>
      </x:c>
      <x:c r="P75" s="20" t="str">
        <x:v>947000291</x:v>
      </x:c>
      <x:c r="Q75" s="20" t="str">
        <x:v>K Kinder- und Jugendliteratur | 07 Kinder- und Jugendliteratur</x:v>
      </x:c>
      <x:c r="R75" s="20" t="str"/>
      <x:c r="S75" s="20" t="str"/>
      <x:c r="T75" s="25" t="n">
        <x:v>46287.72917824074</x:v>
      </x:c>
    </x:row>
    <x:row r="76" ht="54" customHeight="1">
      <x:c r="A76" s="20" t="str">
        <x:v>work-18f3477fd33e-2015</x:v>
      </x:c>
      <x:c r="B76" s="20" t="str">
        <x:v>Nasrin Siege</x:v>
      </x:c>
      <x:c r="C76" s="20" t="str">
        <x:v>Shirin – Wo gehöre ich hin?</x:v>
      </x:c>
      <x:c r="D76" s="20" t="n">
        <x:v>2015</x:v>
      </x:c>
      <x:c r="E76" s="20" t="n">
        <x:v>2015</x:v>
      </x:c>
      <x:c r="F76" s="20" t="str">
        <x:v>standalone work</x:v>
      </x:c>
      <x:c r="G76" s="60" t="str">
        <x:v>provisional German-original</x:v>
      </x:c>
      <x:c r="H76" s="52" t="str">
        <x:v>Queue: SPLIT (2015 revised version)</x:v>
      </x:c>
      <x:c r="I76" s="20" t="str">
        <x:v>Nasrin Siege’s website calls the 2015 book an ‘überarbeitete Neufassung’. I counted the 1996 version and the 2015 new version separately.</x:v>
      </x:c>
      <x:c r="J76" s="20" t="str">
        <x:v>Shirin : wo gehöre ich hin?</x:v>
      </x:c>
      <x:c r="K76" s="20" t="n">
        <x:v>1</x:v>
      </x:c>
      <x:c r="L76" s="20" t="n">
        <x:v>1</x:v>
      </x:c>
      <x:c r="M76" s="20" t="n">
        <x:v>0</x:v>
      </x:c>
      <x:c r="N76" s="20" t="n">
        <x:v>0</x:v>
      </x:c>
      <x:c r="O76" s="20" t="str">
        <x:v>nasrin-siege-66f7e2c38f</x:v>
      </x:c>
      <x:c r="P76" s="20" t="str">
        <x:v>1058339354</x:v>
      </x:c>
      <x:c r="Q76" s="20" t="str">
        <x:v>K Kinder- und Jugendliteratur | 07 Kinder- und Jugendliteratur</x:v>
      </x:c>
      <x:c r="R76" s="20" t="str">
        <x:v>überarbeitete Neufassung (author website)</x:v>
      </x:c>
      <x:c r="S76" s="20" t="str"/>
      <x:c r="T76" s="25" t="n">
        <x:v>46287.72917824074</x:v>
      </x:c>
    </x:row>
    <x:row r="77" ht="54" customHeight="1">
      <x:c r="A77" s="20" t="str">
        <x:v>work-0c9b32695d20</x:v>
      </x:c>
      <x:c r="B77" s="20" t="str">
        <x:v>Nasrin Siege</x:v>
      </x:c>
      <x:c r="C77" s="20" t="str">
        <x:v>Sombo, das Mädchen vom Fluss</x:v>
      </x:c>
      <x:c r="D77" s="20" t="n">
        <x:v>1990</x:v>
      </x:c>
      <x:c r="E77" s="20" t="n">
        <x:v>2025</x:v>
      </x:c>
      <x:c r="F77" s="20" t="str">
        <x:v>standalone work</x:v>
      </x:c>
      <x:c r="G77" s="60" t="str">
        <x:v>provisional German-original</x:v>
      </x:c>
      <x:c r="H77" s="52" t="str">
        <x:v>Queue: KEEP_ONE</x:v>
      </x:c>
      <x:c r="I77" s="20" t="str">
        <x:v>All records have the same title. They are different editions of the same book, so I counted one work.</x:v>
      </x:c>
      <x:c r="J77" s="20" t="str">
        <x:v>Sombo, das Mädchen vom Fluss | Sombo, das Mädchen vom Fluss : Erzählung</x:v>
      </x:c>
      <x:c r="K77" s="20" t="n">
        <x:v>8</x:v>
      </x:c>
      <x:c r="L77" s="20" t="n">
        <x:v>7</x:v>
      </x:c>
      <x:c r="M77" s="20" t="n">
        <x:v>1</x:v>
      </x:c>
      <x:c r="N77" s="20" t="n">
        <x:v>0</x:v>
      </x:c>
      <x:c r="O77" s="20" t="str">
        <x:v>nasrin-siege-15efbe548b | nasrin-siege-8bfc6f903e</x:v>
      </x:c>
      <x:c r="P77" s="20" t="str">
        <x:v>1036449033 | 1388067358 | 901321850 | 910910383 | 940332094 | 942082494 | 944785905 | 964184583</x:v>
      </x:c>
      <x:c r="Q77" s="20" t="str">
        <x:v>K Kinder- und Jugendliteratur | 07 Kinder- und Jugendliteratur</x:v>
      </x:c>
      <x:c r="R77" s="20" t="str">
        <x:v>1. Aufl | Neuausgabe | 2. Aufl., 9. - 12. Tsd | [2. Aufl.] | [3. Aufl.] | [7. Aufl.]</x:v>
      </x:c>
      <x:c r="S77" s="20" t="str"/>
      <x:c r="T77" s="25" t="n">
        <x:v>46287.72917824074</x:v>
      </x:c>
    </x:row>
    <x:row r="78" ht="54" customHeight="1">
      <x:c r="A78" s="20" t="str">
        <x:v>work-98b81fb72365</x:v>
      </x:c>
      <x:c r="B78" s="20" t="str">
        <x:v>Nasrin Siege</x:v>
      </x:c>
      <x:c r="C78" s="20" t="str">
        <x:v>Sombo, das Mädchen vom Fluß</x:v>
      </x:c>
      <x:c r="D78" s="20" t="n">
        <x:v>1997</x:v>
      </x:c>
      <x:c r="E78" s="20" t="n">
        <x:v>1997</x:v>
      </x:c>
      <x:c r="F78" s="20" t="str">
        <x:v>standalone work</x:v>
      </x:c>
      <x:c r="G78" s="60" t="str">
        <x:v>provisional German-original</x:v>
      </x:c>
      <x:c r="H78" s="20" t="str">
        <x:v>AUTO_KEEP_PROVISIONAL</x:v>
      </x:c>
      <x:c r="I78" s="20" t="str"/>
      <x:c r="J78" s="20" t="str">
        <x:v>Sombo, das Mädchen vom Fluß : Erzählung</x:v>
      </x:c>
      <x:c r="K78" s="20" t="n">
        <x:v>1</x:v>
      </x:c>
      <x:c r="L78" s="20" t="n">
        <x:v>1</x:v>
      </x:c>
      <x:c r="M78" s="20" t="n">
        <x:v>0</x:v>
      </x:c>
      <x:c r="N78" s="20" t="n">
        <x:v>0</x:v>
      </x:c>
      <x:c r="O78" s="20" t="str">
        <x:v>nasrin-siege-15efbe548b</x:v>
      </x:c>
      <x:c r="P78" s="20" t="str">
        <x:v>953830616</x:v>
      </x:c>
      <x:c r="Q78" s="20" t="str">
        <x:v>07 Kinder- und Jugendliteratur</x:v>
      </x:c>
      <x:c r="R78" s="20" t="str">
        <x:v>[Blindendr.]</x:v>
      </x:c>
      <x:c r="S78" s="20" t="str"/>
      <x:c r="T78" s="25" t="n">
        <x:v>46287.72917824074</x:v>
      </x:c>
    </x:row>
    <x:row r="79" ht="54" customHeight="1">
      <x:c r="A79" s="20" t="str">
        <x:v>work-bf80d64554c7</x:v>
      </x:c>
      <x:c r="B79" s="20" t="str">
        <x:v>Nasrin Siege</x:v>
      </x:c>
      <x:c r="C79" s="20" t="str">
        <x:v>Wenn der Löwe brüllt</x:v>
      </x:c>
      <x:c r="D79" s="20" t="n">
        <x:v>2023</x:v>
      </x:c>
      <x:c r="E79" s="20" t="n">
        <x:v>2023</x:v>
      </x:c>
      <x:c r="F79" s="20" t="str">
        <x:v>standalone work</x:v>
      </x:c>
      <x:c r="G79" s="60" t="str">
        <x:v>provisional German-original</x:v>
      </x:c>
      <x:c r="H79" s="20" t="str">
        <x:v>AUTO_KEEP_PROVISIONAL</x:v>
      </x:c>
      <x:c r="I79" s="20" t="str"/>
      <x:c r="J79" s="20" t="str">
        <x:v>Wenn der Löwe brüllt</x:v>
      </x:c>
      <x:c r="K79" s="20" t="n">
        <x:v>1</x:v>
      </x:c>
      <x:c r="L79" s="20" t="n">
        <x:v>1</x:v>
      </x:c>
      <x:c r="M79" s="20" t="n">
        <x:v>0</x:v>
      </x:c>
      <x:c r="N79" s="20" t="n">
        <x:v>0</x:v>
      </x:c>
      <x:c r="O79" s="20" t="str">
        <x:v>nasrin-siege-59db0a94ad</x:v>
      </x:c>
      <x:c r="P79" s="20" t="str">
        <x:v>1278511555</x:v>
      </x:c>
      <x:c r="Q79" s="20" t="str">
        <x:v>K Kinder- und Jugendliteratur</x:v>
      </x:c>
      <x:c r="R79" s="20" t="str">
        <x:v>Sonderausgabe für die Bundeszentrale für politische Bildung</x:v>
      </x:c>
      <x:c r="S79" s="20" t="str"/>
      <x:c r="T79" s="25" t="n">
        <x:v>46287.72917824074</x:v>
      </x:c>
    </x:row>
    <x:row r="80" ht="54" customHeight="1">
      <x:c r="A80" s="20" t="str">
        <x:v>work-60405afad1c0</x:v>
      </x:c>
      <x:c r="B80" s="20" t="str">
        <x:v>Nasrin Siege</x:v>
      </x:c>
      <x:c r="C80" s="20" t="str">
        <x:v>Wie der Fluss in meinem Dorf</x:v>
      </x:c>
      <x:c r="D80" s="20" t="n">
        <x:v>1994</x:v>
      </x:c>
      <x:c r="E80" s="20" t="n">
        <x:v>2026</x:v>
      </x:c>
      <x:c r="F80" s="20" t="str">
        <x:v>standalone work</x:v>
      </x:c>
      <x:c r="G80" s="60" t="str">
        <x:v>provisional German-original</x:v>
      </x:c>
      <x:c r="H80" s="52" t="str">
        <x:v>Queue: KEEP_ONE</x:v>
      </x:c>
      <x:c r="I80" s="20" t="str">
        <x:v>The 2021 DNB record says ‘revidierte Auflage’, but that alone does not show a substantially new text. I counted one work.</x:v>
      </x:c>
      <x:c r="J80" s="20" t="str">
        <x:v>Wie der Fluss in meinem Dorf | Wie der Fluss in meinem Dorf : Erzählung</x:v>
      </x:c>
      <x:c r="K80" s="20" t="n">
        <x:v>7</x:v>
      </x:c>
      <x:c r="L80" s="20" t="n">
        <x:v>6</x:v>
      </x:c>
      <x:c r="M80" s="20" t="n">
        <x:v>1</x:v>
      </x:c>
      <x:c r="N80" s="20" t="n">
        <x:v>0</x:v>
      </x:c>
      <x:c r="O80" s="20" t="str">
        <x:v>nasrin-siege-60405afad1 | nasrin-siege-a887aba7ba</x:v>
      </x:c>
      <x:c r="P80" s="20" t="str">
        <x:v>1209962926 | 1236855612 | 124642794X | 1403693382 | 94066464X | 947646175 | 96367143X</x:v>
      </x:c>
      <x:c r="Q80" s="20" t="str">
        <x:v>K Kinder- und Jugendliteratur | 07 Kinder- und Jugendliteratur</x:v>
      </x:c>
      <x:c r="R80" s="20" t="str">
        <x:v>1. Auflage | 1. Auflage, revidierte Auflage | Neuausgabe | [4. Aufl.]</x:v>
      </x:c>
      <x:c r="S80" s="20" t="str"/>
      <x:c r="T80" s="25" t="n">
        <x:v>46287.72917824074</x:v>
      </x:c>
    </x:row>
    <x:row r="81" ht="54" customHeight="1">
      <x:c r="A81" s="20" t="str">
        <x:v>work-96ad4e4d3feb</x:v>
      </x:c>
      <x:c r="B81" s="20" t="str">
        <x:v>Nasrin Siege</x:v>
      </x:c>
      <x:c r="C81" s="20" t="str">
        <x:v>Wie der Fluß in meinem Dorf</x:v>
      </x:c>
      <x:c r="D81" s="20" t="n">
        <x:v>1997</x:v>
      </x:c>
      <x:c r="E81" s="20" t="n">
        <x:v>1997</x:v>
      </x:c>
      <x:c r="F81" s="20" t="str">
        <x:v>standalone work</x:v>
      </x:c>
      <x:c r="G81" s="60" t="str">
        <x:v>provisional German-original</x:v>
      </x:c>
      <x:c r="H81" s="20" t="str">
        <x:v>AUTO_KEEP_PROVISIONAL</x:v>
      </x:c>
      <x:c r="I81" s="20" t="str"/>
      <x:c r="J81" s="20" t="str">
        <x:v>Wie der Fluß in meinem Dorf : Erzählung</x:v>
      </x:c>
      <x:c r="K81" s="20" t="n">
        <x:v>1</x:v>
      </x:c>
      <x:c r="L81" s="20" t="n">
        <x:v>1</x:v>
      </x:c>
      <x:c r="M81" s="20" t="n">
        <x:v>0</x:v>
      </x:c>
      <x:c r="N81" s="20" t="n">
        <x:v>0</x:v>
      </x:c>
      <x:c r="O81" s="20" t="str">
        <x:v>nasrin-siege-a887aba7ba</x:v>
      </x:c>
      <x:c r="P81" s="20" t="str">
        <x:v>953896153</x:v>
      </x:c>
      <x:c r="Q81" s="20" t="str">
        <x:v>07 Kinder- und Jugendliteratur</x:v>
      </x:c>
      <x:c r="R81" s="20" t="str">
        <x:v>[Blindendr.]</x:v>
      </x:c>
      <x:c r="S81" s="20" t="str"/>
      <x:c r="T81" s="25" t="n">
        <x:v>46287.72917824074</x:v>
      </x:c>
    </x:row>
    <x:row r="82" ht="54" customHeight="1">
      <x:c r="A82" s="20" t="str">
        <x:v>work-996d3a4a28ed</x:v>
      </x:c>
      <x:c r="B82" s="20" t="str">
        <x:v>Nasrin Siege</x:v>
      </x:c>
      <x:c r="C82" s="20" t="str">
        <x:v>Wo ist Bubu?</x:v>
      </x:c>
      <x:c r="D82" s="20" t="n">
        <x:v>2026</x:v>
      </x:c>
      <x:c r="E82" s="20" t="n">
        <x:v>2026</x:v>
      </x:c>
      <x:c r="F82" s="20" t="str">
        <x:v>standalone work</x:v>
      </x:c>
      <x:c r="G82" s="60" t="str">
        <x:v>provisional German-original</x:v>
      </x:c>
      <x:c r="H82" s="20" t="str">
        <x:v>AUTO_KEEP_PROVISIONAL</x:v>
      </x:c>
      <x:c r="I82" s="20" t="str"/>
      <x:c r="J82" s="20" t="str">
        <x:v>Wo ist Bubu?</x:v>
      </x:c>
      <x:c r="K82" s="20" t="n">
        <x:v>1</x:v>
      </x:c>
      <x:c r="L82" s="20" t="n">
        <x:v>1</x:v>
      </x:c>
      <x:c r="M82" s="20" t="n">
        <x:v>0</x:v>
      </x:c>
      <x:c r="N82" s="20" t="n">
        <x:v>0</x:v>
      </x:c>
      <x:c r="O82" s="20" t="str">
        <x:v>nasrin-siege-996d3a4a28</x:v>
      </x:c>
      <x:c r="P82" s="20" t="str">
        <x:v>139115178X</x:v>
      </x:c>
      <x:c r="Q82" s="20" t="str">
        <x:v>K Kinder- und Jugendliteratur</x:v>
      </x:c>
      <x:c r="R82" s="20" t="str"/>
      <x:c r="S82" s="20" t="str"/>
      <x:c r="T82" s="25" t="n">
        <x:v>46287.72917824074</x:v>
      </x:c>
    </x:row>
    <x:row r="83" ht="54" customHeight="1">
      <x:c r="A83" s="20" t="str">
        <x:v>work-702236918277</x:v>
      </x:c>
      <x:c r="B83" s="20" t="str">
        <x:v>Nassir Djafari</x:v>
      </x:c>
      <x:c r="C83" s="20" t="str">
        <x:v>Der Großcousin</x:v>
      </x:c>
      <x:c r="D83" s="20" t="n">
        <x:v>2024</x:v>
      </x:c>
      <x:c r="E83" s="20" t="n">
        <x:v>2024</x:v>
      </x:c>
      <x:c r="F83" s="20" t="str">
        <x:v>standalone work</x:v>
      </x:c>
      <x:c r="G83" s="60" t="str">
        <x:v>provisional German-original</x:v>
      </x:c>
      <x:c r="H83" s="20" t="str">
        <x:v>AUTO_KEEP_PROVISIONAL</x:v>
      </x:c>
      <x:c r="I83" s="20" t="str"/>
      <x:c r="J83" s="20" t="str">
        <x:v>Der Großcousin : Roman</x:v>
      </x:c>
      <x:c r="K83" s="20" t="n">
        <x:v>1</x:v>
      </x:c>
      <x:c r="L83" s="20" t="n">
        <x:v>1</x:v>
      </x:c>
      <x:c r="M83" s="20" t="n">
        <x:v>0</x:v>
      </x:c>
      <x:c r="N83" s="20" t="n">
        <x:v>0</x:v>
      </x:c>
      <x:c r="O83" s="20" t="str">
        <x:v>nassir-djafari-01e782b4a1</x:v>
      </x:c>
      <x:c r="P83" s="20" t="str">
        <x:v>1322567840</x:v>
      </x:c>
      <x:c r="Q83" s="20" t="str">
        <x:v>830 Deutsche Literatur | B Belletristik</x:v>
      </x:c>
      <x:c r="R83" s="20" t="str">
        <x:v>1. Auflage</x:v>
      </x:c>
      <x:c r="S83" s="20" t="str"/>
      <x:c r="T83" s="25" t="n">
        <x:v>46287.72917824074</x:v>
      </x:c>
    </x:row>
    <x:row r="84" ht="54" customHeight="1">
      <x:c r="A84" s="20" t="str">
        <x:v>work-011d68e8cf7f</x:v>
      </x:c>
      <x:c r="B84" s="20" t="str">
        <x:v>Nassir Djafari</x:v>
      </x:c>
      <x:c r="C84" s="20" t="str">
        <x:v>Eine Woche, ein Leben</x:v>
      </x:c>
      <x:c r="D84" s="20" t="n">
        <x:v>2020</x:v>
      </x:c>
      <x:c r="E84" s="20" t="n">
        <x:v>2021</x:v>
      </x:c>
      <x:c r="F84" s="20" t="str">
        <x:v>standalone work</x:v>
      </x:c>
      <x:c r="G84" s="60" t="str">
        <x:v>provisional German-original</x:v>
      </x:c>
      <x:c r="H84" s="20" t="str">
        <x:v>AUTO_KEEP_PROVISIONAL</x:v>
      </x:c>
      <x:c r="I84" s="20" t="str"/>
      <x:c r="J84" s="20" t="str">
        <x:v>Eine Woche, ein Leben : Roman</x:v>
      </x:c>
      <x:c r="K84" s="20" t="n">
        <x:v>2</x:v>
      </x:c>
      <x:c r="L84" s="20" t="n">
        <x:v>2</x:v>
      </x:c>
      <x:c r="M84" s="20" t="n">
        <x:v>0</x:v>
      </x:c>
      <x:c r="N84" s="20" t="n">
        <x:v>0</x:v>
      </x:c>
      <x:c r="O84" s="20" t="str">
        <x:v>nassir-djafari-646239da16</x:v>
      </x:c>
      <x:c r="P84" s="20" t="str">
        <x:v>1203394721 | 1239384270</x:v>
      </x:c>
      <x:c r="Q84" s="20" t="str">
        <x:v>830 Deutsche Literatur | B Belletristik</x:v>
      </x:c>
      <x:c r="R84" s="20" t="str">
        <x:v>1. Auflage | 2. Auflage TB</x:v>
      </x:c>
      <x:c r="S84" s="20" t="str"/>
      <x:c r="T84" s="25" t="n">
        <x:v>46287.72917824074</x:v>
      </x:c>
    </x:row>
    <x:row r="85" ht="54" customHeight="1">
      <x:c r="A85" s="20" t="str">
        <x:v>work-24f62969d73a</x:v>
      </x:c>
      <x:c r="B85" s="20" t="str">
        <x:v>Nassir Djafari</x:v>
      </x:c>
      <x:c r="C85" s="20" t="str">
        <x:v>Mahtab</x:v>
      </x:c>
      <x:c r="D85" s="20" t="n">
        <x:v>2022</x:v>
      </x:c>
      <x:c r="E85" s="20" t="n">
        <x:v>2022</x:v>
      </x:c>
      <x:c r="F85" s="20" t="str">
        <x:v>standalone work</x:v>
      </x:c>
      <x:c r="G85" s="60" t="str">
        <x:v>provisional German-original</x:v>
      </x:c>
      <x:c r="H85" s="20" t="str">
        <x:v>AUTO_KEEP_PROVISIONAL</x:v>
      </x:c>
      <x:c r="I85" s="20" t="str"/>
      <x:c r="J85" s="20" t="str">
        <x:v>Mahtab : Roman</x:v>
      </x:c>
      <x:c r="K85" s="20" t="n">
        <x:v>1</x:v>
      </x:c>
      <x:c r="L85" s="20" t="n">
        <x:v>1</x:v>
      </x:c>
      <x:c r="M85" s="20" t="n">
        <x:v>0</x:v>
      </x:c>
      <x:c r="N85" s="20" t="n">
        <x:v>0</x:v>
      </x:c>
      <x:c r="O85" s="20" t="str">
        <x:v>nassir-djafari-abc18da381</x:v>
      </x:c>
      <x:c r="P85" s="20" t="str">
        <x:v>1255041722</x:v>
      </x:c>
      <x:c r="Q85" s="20" t="str">
        <x:v>830 Deutsche Literatur | B Belletristik</x:v>
      </x:c>
      <x:c r="R85" s="20" t="str">
        <x:v>2. Auflage</x:v>
      </x:c>
      <x:c r="S85" s="20" t="str"/>
      <x:c r="T85" s="25" t="n">
        <x:v>46287.72917824074</x:v>
      </x:c>
    </x:row>
    <x:row r="86" ht="54" customHeight="1">
      <x:c r="A86" s="20" t="str">
        <x:v>work-73f60b3d5ef2</x:v>
      </x:c>
      <x:c r="B86" s="20" t="str">
        <x:v>Nassir Djafari</x:v>
      </x:c>
      <x:c r="C86" s="20" t="str">
        <x:v>Tausend Fenster</x:v>
      </x:c>
      <x:c r="D86" s="20" t="n">
        <x:v>2026</x:v>
      </x:c>
      <x:c r="E86" s="20" t="n">
        <x:v>2026</x:v>
      </x:c>
      <x:c r="F86" s="20" t="str">
        <x:v>standalone work</x:v>
      </x:c>
      <x:c r="G86" s="60" t="str">
        <x:v>provisional German-original</x:v>
      </x:c>
      <x:c r="H86" s="20" t="str">
        <x:v>AUTO_KEEP_PROVISIONAL</x:v>
      </x:c>
      <x:c r="I86" s="20" t="str"/>
      <x:c r="J86" s="20" t="str">
        <x:v>Tausend Fenster : Roman</x:v>
      </x:c>
      <x:c r="K86" s="20" t="n">
        <x:v>1</x:v>
      </x:c>
      <x:c r="L86" s="20" t="n">
        <x:v>1</x:v>
      </x:c>
      <x:c r="M86" s="20" t="n">
        <x:v>0</x:v>
      </x:c>
      <x:c r="N86" s="20" t="n">
        <x:v>0</x:v>
      </x:c>
      <x:c r="O86" s="20" t="str">
        <x:v>nassir-djafari-5cd01a78bd</x:v>
      </x:c>
      <x:c r="P86" s="20" t="str">
        <x:v>1403337357</x:v>
      </x:c>
      <x:c r="Q86" s="20" t="str">
        <x:v>830 Deutsche Literatur | B Belletristik</x:v>
      </x:c>
      <x:c r="R86" s="20" t="str">
        <x:v>1. Auflage</x:v>
      </x:c>
      <x:c r="S86" s="20" t="str"/>
      <x:c r="T86" s="25" t="n">
        <x:v>46287.72917824074</x:v>
      </x:c>
    </x:row>
    <x:row r="87" ht="54" customHeight="1">
      <x:c r="A87" s="20" t="str">
        <x:v>work-40980d9557f7</x:v>
      </x:c>
      <x:c r="B87" s="20" t="str">
        <x:v>Nava Ebrahimi</x:v>
      </x:c>
      <x:c r="C87" s="20" t="str">
        <x:v>Das Paradies meines Nachbarn</x:v>
      </x:c>
      <x:c r="D87" s="20" t="n">
        <x:v>2020</x:v>
      </x:c>
      <x:c r="E87" s="20" t="n">
        <x:v>2023</x:v>
      </x:c>
      <x:c r="F87" s="20" t="str">
        <x:v>standalone work</x:v>
      </x:c>
      <x:c r="G87" s="59" t="str">
        <x:v>verified German-original</x:v>
      </x:c>
      <x:c r="H87" s="20" t="str">
        <x:v>AUTO_KEEP_PROVISIONAL</x:v>
      </x:c>
      <x:c r="I87" s="20" t="str"/>
      <x:c r="J87" s="20" t="str">
        <x:v>Das Paradies meines Nachbarn : Roman</x:v>
      </x:c>
      <x:c r="K87" s="20" t="n">
        <x:v>3</x:v>
      </x:c>
      <x:c r="L87" s="20" t="n">
        <x:v>2</x:v>
      </x:c>
      <x:c r="M87" s="20" t="n">
        <x:v>1</x:v>
      </x:c>
      <x:c r="N87" s="20" t="n">
        <x:v>0</x:v>
      </x:c>
      <x:c r="O87" s="20" t="str">
        <x:v>nava-ebrahimi-e41adeb79e</x:v>
      </x:c>
      <x:c r="P87" s="20" t="str">
        <x:v>1198617861 | 1205253084 | 125468977X</x:v>
      </x:c>
      <x:c r="Q87" s="20" t="str">
        <x:v>830 Deutsche Literatur | B Belletristik</x:v>
      </x:c>
      <x:c r="R87" s="20" t="str">
        <x:v>1. Auflage, Originalausgabe | 1. Auflage, Taschenbuchausgabe</x:v>
      </x:c>
      <x:c r="S87" s="20" t="str">
        <x:v>ORF biography</x:v>
      </x:c>
      <x:c r="T87" s="25" t="n">
        <x:v>46287.72917824074</x:v>
      </x:c>
    </x:row>
    <x:row r="88" ht="54" customHeight="1">
      <x:c r="A88" s="20" t="str">
        <x:v>work-eb1e5b76fe58</x:v>
      </x:c>
      <x:c r="B88" s="20" t="str">
        <x:v>Nava Ebrahimi</x:v>
      </x:c>
      <x:c r="C88" s="20" t="str">
        <x:v>Drei Tage im Mai</x:v>
      </x:c>
      <x:c r="D88" s="20" t="n">
        <x:v>2025</x:v>
      </x:c>
      <x:c r="E88" s="20" t="n">
        <x:v>2025</x:v>
      </x:c>
      <x:c r="F88" s="20" t="str">
        <x:v>standalone work</x:v>
      </x:c>
      <x:c r="G88" s="60" t="str">
        <x:v>provisional German-original</x:v>
      </x:c>
      <x:c r="H88" s="20" t="str">
        <x:v>AUTO_KEEP_PROVISIONAL</x:v>
      </x:c>
      <x:c r="I88" s="20" t="str"/>
      <x:c r="J88" s="20" t="str">
        <x:v>Drei Tage im Mai : Klagenfurter Rede zur Literatur 2025</x:v>
      </x:c>
      <x:c r="K88" s="20" t="n">
        <x:v>1</x:v>
      </x:c>
      <x:c r="L88" s="20" t="n">
        <x:v>1</x:v>
      </x:c>
      <x:c r="M88" s="20" t="n">
        <x:v>0</x:v>
      </x:c>
      <x:c r="N88" s="20" t="n">
        <x:v>0</x:v>
      </x:c>
      <x:c r="O88" s="20" t="str">
        <x:v>nava-ebrahimi-91583889b6</x:v>
      </x:c>
      <x:c r="P88" s="20" t="str">
        <x:v>1368765122</x:v>
      </x:c>
      <x:c r="Q88" s="20" t="str">
        <x:v>830 Deutsche Literatur</x:v>
      </x:c>
      <x:c r="R88" s="20" t="str">
        <x:v>1. Auflage</x:v>
      </x:c>
      <x:c r="S88" s="20" t="str"/>
      <x:c r="T88" s="25" t="n">
        <x:v>46287.72917824074</x:v>
      </x:c>
    </x:row>
    <x:row r="89" ht="54" customHeight="1">
      <x:c r="A89" s="20" t="str">
        <x:v>work-8aed50e1004a</x:v>
      </x:c>
      <x:c r="B89" s="20" t="str">
        <x:v>Nava Ebrahimi</x:v>
      </x:c>
      <x:c r="C89" s="20" t="str">
        <x:v>Sechzehn Wörter</x:v>
      </x:c>
      <x:c r="D89" s="20" t="n">
        <x:v>2017</x:v>
      </x:c>
      <x:c r="E89" s="20" t="n">
        <x:v>2022</x:v>
      </x:c>
      <x:c r="F89" s="20" t="str">
        <x:v>standalone work</x:v>
      </x:c>
      <x:c r="G89" s="59" t="str">
        <x:v>verified German-original</x:v>
      </x:c>
      <x:c r="H89" s="20" t="str">
        <x:v>AUTO_KEEP_PROVISIONAL</x:v>
      </x:c>
      <x:c r="I89" s="20" t="str"/>
      <x:c r="J89" s="20" t="str">
        <x:v>Sechzehn Wörter : Roman</x:v>
      </x:c>
      <x:c r="K89" s="20" t="n">
        <x:v>4</x:v>
      </x:c>
      <x:c r="L89" s="20" t="n">
        <x:v>3</x:v>
      </x:c>
      <x:c r="M89" s="20" t="n">
        <x:v>1</x:v>
      </x:c>
      <x:c r="N89" s="20" t="n">
        <x:v>0</x:v>
      </x:c>
      <x:c r="O89" s="20" t="str">
        <x:v>nava-ebrahimi-e41f95888d</x:v>
      </x:c>
      <x:c r="P89" s="20" t="str">
        <x:v>1119738180 | 1128569493 | 1156227062 | 1258988402</x:v>
      </x:c>
      <x:c r="Q89" s="20" t="str">
        <x:v>830 Deutsche Literatur | B Belletristik</x:v>
      </x:c>
      <x:c r="R89" s="20" t="str">
        <x:v>1. Auflage | 1. Auflage, genehmigte Taschenbuchausgabe | Sonderausgabe</x:v>
      </x:c>
      <x:c r="S89" s="20" t="str">
        <x:v>ORF biography</x:v>
      </x:c>
      <x:c r="T89" s="25" t="n">
        <x:v>46287.72917824074</x:v>
      </x:c>
    </x:row>
    <x:row r="90" ht="54" customHeight="1">
      <x:c r="A90" s="20" t="str">
        <x:v>work-b4ceea95bec9</x:v>
      </x:c>
      <x:c r="B90" s="20" t="str">
        <x:v>Nava Ebrahimi</x:v>
      </x:c>
      <x:c r="C90" s="20" t="str">
        <x:v>Und Federn überall</x:v>
      </x:c>
      <x:c r="D90" s="20" t="n">
        <x:v>2025</x:v>
      </x:c>
      <x:c r="E90" s="20" t="n">
        <x:v>2025</x:v>
      </x:c>
      <x:c r="F90" s="20" t="str">
        <x:v>standalone work</x:v>
      </x:c>
      <x:c r="G90" s="60" t="str">
        <x:v>provisional German-original</x:v>
      </x:c>
      <x:c r="H90" s="52" t="str">
        <x:v>Queue: KEEP_ONE</x:v>
      </x:c>
      <x:c r="I90" s="20" t="str">
        <x:v>The two records are the print and e-book versions of the same 2025 novel, so I counted one work.</x:v>
      </x:c>
      <x:c r="J90" s="20" t="str">
        <x:v>Und Federn überall : Roman | Und Federn überall : Roman - Nominiert für den Deutschen Buchpreis 2025</x:v>
      </x:c>
      <x:c r="K90" s="20" t="n">
        <x:v>2</x:v>
      </x:c>
      <x:c r="L90" s="20" t="n">
        <x:v>1</x:v>
      </x:c>
      <x:c r="M90" s="20" t="n">
        <x:v>1</x:v>
      </x:c>
      <x:c r="N90" s="20" t="n">
        <x:v>0</x:v>
      </x:c>
      <x:c r="O90" s="20" t="str">
        <x:v>nava-ebrahimi-8551e60e56 | nava-ebrahimi-cb657c0f1c</x:v>
      </x:c>
      <x:c r="P90" s="20" t="str">
        <x:v>1361913916 | 1374673633</x:v>
      </x:c>
      <x:c r="Q90" s="20" t="str">
        <x:v>830 Deutsche Literatur | B Belletristik</x:v>
      </x:c>
      <x:c r="R90" s="20" t="str">
        <x:v>2. Auflage</x:v>
      </x:c>
      <x:c r="S90" s="20" t="str"/>
      <x:c r="T90" s="25" t="n">
        <x:v>46287.72917824074</x:v>
      </x:c>
    </x:row>
    <x:row r="91" ht="54" customHeight="1">
      <x:c r="A91" s="20" t="str">
        <x:v>work-0e5a1b9376ba</x:v>
      </x:c>
      <x:c r="B91" s="20" t="str">
        <x:v>Nava Ebrahimi</x:v>
      </x:c>
      <x:c r="C91" s="20" t="str">
        <x:v>Wer ich geworden wäre, wenn alles ganz anders gekommen wäre</x:v>
      </x:c>
      <x:c r="D91" s="20" t="n">
        <x:v>2024</x:v>
      </x:c>
      <x:c r="E91" s="20" t="n">
        <x:v>2024</x:v>
      </x:c>
      <x:c r="F91" s="20" t="str">
        <x:v>standalone work</x:v>
      </x:c>
      <x:c r="G91" s="60" t="str">
        <x:v>provisional German-original</x:v>
      </x:c>
      <x:c r="H91" s="20" t="str">
        <x:v>AUTO_KEEP_PROVISIONAL</x:v>
      </x:c>
      <x:c r="I91" s="20" t="str"/>
      <x:c r="J91" s="20" t="str">
        <x:v>Wer ich geworden wäre, wenn alles ganz anders gekommen wäre : Herkunft, Identität, Imagination</x:v>
      </x:c>
      <x:c r="K91" s="20" t="n">
        <x:v>1</x:v>
      </x:c>
      <x:c r="L91" s="20" t="n">
        <x:v>1</x:v>
      </x:c>
      <x:c r="M91" s="20" t="n">
        <x:v>0</x:v>
      </x:c>
      <x:c r="N91" s="20" t="n">
        <x:v>0</x:v>
      </x:c>
      <x:c r="O91" s="20" t="str">
        <x:v>nava-ebrahimi-342fd17520</x:v>
      </x:c>
      <x:c r="P91" s="20" t="str">
        <x:v>1310302111</x:v>
      </x:c>
      <x:c r="Q91" s="20" t="str">
        <x:v>830 Deutsche Literatur</x:v>
      </x:c>
      <x:c r="R91" s="20" t="str"/>
      <x:c r="S91" s="20" t="str"/>
      <x:c r="T91" s="25" t="n">
        <x:v>46287.72917824074</x:v>
      </x:c>
    </x:row>
    <x:row r="92" ht="54" customHeight="1">
      <x:c r="A92" s="20" t="str">
        <x:v>work-536183f83123</x:v>
      </x:c>
      <x:c r="B92" s="20" t="str">
        <x:v>Navid Kermani</x:v>
      </x:c>
      <x:c r="C92" s="20" t="str">
        <x:v>Album</x:v>
      </x:c>
      <x:c r="D92" s="20" t="n">
        <x:v>2014</x:v>
      </x:c>
      <x:c r="E92" s="20" t="n">
        <x:v>2014</x:v>
      </x:c>
      <x:c r="F92" s="20" t="str">
        <x:v>collection</x:v>
      </x:c>
      <x:c r="G92" s="60" t="str">
        <x:v>provisional German-original</x:v>
      </x:c>
      <x:c r="H92" s="52" t="str">
        <x:v>Queue: KEEP_ONE</x:v>
      </x:c>
      <x:c r="I92" s="20" t="str">
        <x:v>The two records are the print and e-book versions of the same collection. The four titles in the e-book record are contents of Album, so I did not count them again here.</x:v>
      </x:c>
      <x:c r="J92" s="20" t="str">
        <x:v>Album | Album : Das Buch der von Neil Young getöteten. Vierzig Leben. Du sollst. Kurzmitteilung</x:v>
      </x:c>
      <x:c r="K92" s="20" t="n">
        <x:v>2</x:v>
      </x:c>
      <x:c r="L92" s="20" t="n">
        <x:v>1</x:v>
      </x:c>
      <x:c r="M92" s="20" t="n">
        <x:v>1</x:v>
      </x:c>
      <x:c r="N92" s="20" t="n">
        <x:v>0</x:v>
      </x:c>
      <x:c r="O92" s="20" t="str">
        <x:v>navid-kermani-0f4c58988e | navid-kermani-536183f831</x:v>
      </x:c>
      <x:c r="P92" s="20" t="str">
        <x:v>1051000807 | 1056858745</x:v>
      </x:c>
      <x:c r="Q92" s="20" t="str">
        <x:v>890 Literatur in anderen Sprachen | B Belletristik</x:v>
      </x:c>
      <x:c r="R92" s="20" t="str"/>
      <x:c r="S92" s="20" t="str"/>
      <x:c r="T92" s="25" t="n">
        <x:v>46287.72917824074</x:v>
      </x:c>
    </x:row>
    <x:row r="93" ht="54" customHeight="1">
      <x:c r="A93" s="20" t="str">
        <x:v>work-b0e720b3d64c</x:v>
      </x:c>
      <x:c r="B93" s="20" t="str">
        <x:v>Navid Kermani</x:v>
      </x:c>
      <x:c r="C93" s="20" t="str">
        <x:v>Ayda, Bär und Hase</x:v>
      </x:c>
      <x:c r="D93" s="20" t="n">
        <x:v>2006</x:v>
      </x:c>
      <x:c r="E93" s="20" t="n">
        <x:v>2022</x:v>
      </x:c>
      <x:c r="F93" s="20" t="str">
        <x:v>standalone work</x:v>
      </x:c>
      <x:c r="G93" s="60" t="str">
        <x:v>provisional German-original</x:v>
      </x:c>
      <x:c r="H93" s="52" t="str">
        <x:v>Queue: KEEP_ONE</x:v>
      </x:c>
      <x:c r="I93" s="20" t="str">
        <x:v>The records are print, e-book and audiobook versions from 2006 to 2022. They all have the same story, so I counted one work.</x:v>
      </x:c>
      <x:c r="J93" s="20" t="str">
        <x:v>Ayda, Bär und Hase | [Ayda, Bär und Hase] ; Dietmat Bär liest Navid Kermani, Ayda, Bär und Hase : MP3-CD mit DAISY-Navigation</x:v>
      </x:c>
      <x:c r="K93" s="20" t="n">
        <x:v>8</x:v>
      </x:c>
      <x:c r="L93" s="20" t="n">
        <x:v>3</x:v>
      </x:c>
      <x:c r="M93" s="20" t="n">
        <x:v>3</x:v>
      </x:c>
      <x:c r="N93" s="20" t="n">
        <x:v>4</x:v>
      </x:c>
      <x:c r="O93" s="20" t="str">
        <x:v>navid-kermani-327ec7c459 | navid-kermani-bdd8a36101</x:v>
      </x:c>
      <x:c r="P93" s="20" t="str">
        <x:v>1117481131 | 1117481603 | 1119466849 | 1122918283 | 115032869X | 1156669510 | 1264371802 | 977646696</x:v>
      </x:c>
      <x:c r="Q93" s="20" t="str">
        <x:v>K Kinder- und Jugendliteratur</x:v>
      </x:c>
      <x:c r="R93" s="20" t="str">
        <x:v>Ungekürzte Lesung mit Musik</x:v>
      </x:c>
      <x:c r="S93" s="20" t="str"/>
      <x:c r="T93" s="25" t="n">
        <x:v>46287.72917824074</x:v>
      </x:c>
    </x:row>
    <x:row r="94" ht="54" customHeight="1">
      <x:c r="A94" s="20" t="str">
        <x:v>work-91f2d0973fe7</x:v>
      </x:c>
      <x:c r="B94" s="20" t="str">
        <x:v>Navid Kermani</x:v>
      </x:c>
      <x:c r="C94" s="20" t="str">
        <x:v>Contribution in: Die Bibel. Das Projekt</x:v>
      </x:c>
      <x:c r="D94" s="20" t="n">
        <x:v>2016</x:v>
      </x:c>
      <x:c r="E94" s="20" t="n">
        <x:v>2018</x:v>
      </x:c>
      <x:c r="F94" s="20" t="str">
        <x:v>anthology contribution</x:v>
      </x:c>
      <x:c r="G94" s="60" t="str">
        <x:v>provisional German-original</x:v>
      </x:c>
      <x:c r="H94" s="52" t="str">
        <x:v>Queue: KEEP_ONE</x:v>
      </x:c>
      <x:c r="I94" s="20" t="str">
        <x:v>Kermani is named as one of the writers. The three records are CD and online versions of the same audio project, so I counted his part once.</x:v>
      </x:c>
      <x:c r="J94" s="20" t="str">
        <x:v>Die Bibel. Das Projekt | Die Bibel. Das Projekt : zeitgenössische Schriftsteller und Künstler erschaffen ein Kaleidoskop akustischer Formen : inszenierte Lesungen, Hörspiele, Collagen, musikalische Hörstücke u.v.m</x:v>
      </x:c>
      <x:c r="K94" s="20" t="n">
        <x:v>3</x:v>
      </x:c>
      <x:c r="L94" s="20" t="n">
        <x:v>0</x:v>
      </x:c>
      <x:c r="M94" s="20" t="n">
        <x:v>2</x:v>
      </x:c>
      <x:c r="N94" s="20" t="n">
        <x:v>3</x:v>
      </x:c>
      <x:c r="O94" s="20" t="str">
        <x:v>navid-kermani-91f2d0973f | navid-kermani-fef8b38a74</x:v>
      </x:c>
      <x:c r="P94" s="20" t="str">
        <x:v>1098327357 | 1113593733 | 114983868X</x:v>
      </x:c>
      <x:c r="Q94" s="20" t="str">
        <x:v>800 Literatur, Rhetorik, Literaturwissenschaft | B Belletristik</x:v>
      </x:c>
      <x:c r="R94" s="20" t="str">
        <x:v>[Neue Ausgabe] | neue Ausgabe</x:v>
      </x:c>
      <x:c r="S94" s="20" t="str"/>
      <x:c r="T94" s="25" t="n">
        <x:v>46287.72917824074</x:v>
      </x:c>
    </x:row>
    <x:row r="95" ht="54" customHeight="1">
      <x:c r="A95" s="20" t="str">
        <x:v>work-0a12cdb4c7dc</x:v>
      </x:c>
      <x:c r="B95" s="20" t="str">
        <x:v>Navid Kermani</x:v>
      </x:c>
      <x:c r="C95" s="20" t="str">
        <x:v>Contribution in: Toleranz</x:v>
      </x:c>
      <x:c r="D95" s="20" t="n">
        <x:v>2016</x:v>
      </x:c>
      <x:c r="E95" s="20" t="n">
        <x:v>2016</x:v>
      </x:c>
      <x:c r="F95" s="20" t="str">
        <x:v>anthology contribution</x:v>
      </x:c>
      <x:c r="G95" s="60" t="str">
        <x:v>provisional German-original</x:v>
      </x:c>
      <x:c r="H95" s="52" t="str">
        <x:v>Queue: KEEP_ONE</x:v>
      </x:c>
      <x:c r="I95" s="20" t="str">
        <x:v>Toleranz contains three separate readings by three authors. I counted Kermani’s text as one contribution, not as a jointly written work.</x:v>
      </x:c>
      <x:c r="J95" s="20" t="str">
        <x:v>Toleranz : Drei Lesarten zu Lessings »Märchen vom Ring« im Jahre 2003</x:v>
      </x:c>
      <x:c r="K95" s="20" t="n">
        <x:v>2</x:v>
      </x:c>
      <x:c r="L95" s="20" t="n">
        <x:v>0</x:v>
      </x:c>
      <x:c r="M95" s="20" t="n">
        <x:v>2</x:v>
      </x:c>
      <x:c r="N95" s="20" t="n">
        <x:v>0</x:v>
      </x:c>
      <x:c r="O95" s="20" t="str">
        <x:v>navid-kermani-4166e0c28d</x:v>
      </x:c>
      <x:c r="P95" s="20" t="str">
        <x:v>109959913X | 1099599164</x:v>
      </x:c>
      <x:c r="Q95" s="20" t="str">
        <x:v>830 Deutsche Literatur</x:v>
      </x:c>
      <x:c r="R95" s="20" t="str"/>
      <x:c r="S95" s="20" t="str"/>
      <x:c r="T95" s="25" t="n">
        <x:v>46287.72917824074</x:v>
      </x:c>
    </x:row>
    <x:row r="96" ht="54" customHeight="1">
      <x:c r="A96" s="20" t="str">
        <x:v>work-4de89603bb7a</x:v>
      </x:c>
      <x:c r="B96" s="20" t="str">
        <x:v>Navid Kermani</x:v>
      </x:c>
      <x:c r="C96" s="20" t="str">
        <x:v>Das Alphabet bis S</x:v>
      </x:c>
      <x:c r="D96" s="20" t="n">
        <x:v>2023</x:v>
      </x:c>
      <x:c r="E96" s="20" t="n">
        <x:v>2025</x:v>
      </x:c>
      <x:c r="F96" s="20" t="str">
        <x:v>standalone work</x:v>
      </x:c>
      <x:c r="G96" s="60" t="str">
        <x:v>provisional German-original</x:v>
      </x:c>
      <x:c r="H96" s="52" t="str">
        <x:v>Queue: KEEP_ONE</x:v>
      </x:c>
      <x:c r="I96" s="20" t="str">
        <x:v>These are print, e-book and audiobook records of the same novel. The 2025 records are later formats or editions, so I counted one work.</x:v>
      </x:c>
      <x:c r="J96" s="20" t="str">
        <x:v>Das Alphabet bis S | Das Alphabet bis S : Roman</x:v>
      </x:c>
      <x:c r="K96" s="20" t="n">
        <x:v>5</x:v>
      </x:c>
      <x:c r="L96" s="20" t="n">
        <x:v>2</x:v>
      </x:c>
      <x:c r="M96" s="20" t="n">
        <x:v>2</x:v>
      </x:c>
      <x:c r="N96" s="20" t="n">
        <x:v>2</x:v>
      </x:c>
      <x:c r="O96" s="20" t="str">
        <x:v>navid-kermani-4de89603bb | navid-kermani-8d1bf6ee95</x:v>
      </x:c>
      <x:c r="P96" s="20" t="str">
        <x:v>1284417336 | 1286428718 | 1297631552 | 1345216343 | 1369580312</x:v>
      </x:c>
      <x:c r="Q96" s="20" t="str">
        <x:v>830 Deutsche Literatur | B Belletristik</x:v>
      </x:c>
      <x:c r="R96" s="20" t="str">
        <x:v>2. Auflage | Ungekürzte Lesung | 1. Auflage</x:v>
      </x:c>
      <x:c r="S96" s="20" t="str"/>
      <x:c r="T96" s="25" t="n">
        <x:v>46287.72917824074</x:v>
      </x:c>
    </x:row>
    <x:row r="97" ht="54" customHeight="1">
      <x:c r="A97" s="20" t="str">
        <x:v>work-f0734d7d4812</x:v>
      </x:c>
      <x:c r="B97" s="20" t="str">
        <x:v>Navid Kermani</x:v>
      </x:c>
      <x:c r="C97" s="20" t="str">
        <x:v>Das Buch der von Neil Young Getöteten</x:v>
      </x:c>
      <x:c r="D97" s="20" t="n">
        <x:v>2002</x:v>
      </x:c>
      <x:c r="E97" s="20" t="n">
        <x:v>2013</x:v>
      </x:c>
      <x:c r="F97" s="20" t="str">
        <x:v>standalone work</x:v>
      </x:c>
      <x:c r="G97" s="60" t="str">
        <x:v>provisional German-original</x:v>
      </x:c>
      <x:c r="H97" s="20" t="str">
        <x:v>AUTO_KEEP_PROVISIONAL</x:v>
      </x:c>
      <x:c r="I97" s="20" t="str"/>
      <x:c r="J97" s="20" t="str">
        <x:v>Das Buch der von Neil Young Getöteten</x:v>
      </x:c>
      <x:c r="K97" s="20" t="n">
        <x:v>3</x:v>
      </x:c>
      <x:c r="L97" s="20" t="n">
        <x:v>3</x:v>
      </x:c>
      <x:c r="M97" s="20" t="n">
        <x:v>0</x:v>
      </x:c>
      <x:c r="N97" s="20" t="n">
        <x:v>0</x:v>
      </x:c>
      <x:c r="O97" s="20" t="str">
        <x:v>navid-kermani-f256c8417c</x:v>
      </x:c>
      <x:c r="P97" s="20" t="str">
        <x:v>1034226401 | 965193144 | 971284814</x:v>
      </x:c>
      <x:c r="Q97" s="20" t="str">
        <x:v>830 Deutsche Literatur | B Belletristik | 59 Belletristik</x:v>
      </x:c>
      <x:c r="R97" s="20" t="str">
        <x:v>1. Aufl</x:v>
      </x:c>
      <x:c r="S97" s="20" t="str"/>
      <x:c r="T97" s="25" t="n">
        <x:v>46287.72917824074</x:v>
      </x:c>
    </x:row>
    <x:row r="98" ht="54" customHeight="1">
      <x:c r="A98" s="20" t="str">
        <x:v>work-b2bd62b6bfaa</x:v>
      </x:c>
      <x:c r="B98" s="20" t="str">
        <x:v>Navid Kermani</x:v>
      </x:c>
      <x:c r="C98" s="20" t="str">
        <x:v>Dein Name</x:v>
      </x:c>
      <x:c r="D98" s="20" t="n">
        <x:v>2011</x:v>
      </x:c>
      <x:c r="E98" s="20" t="n">
        <x:v>2015</x:v>
      </x:c>
      <x:c r="F98" s="20" t="str">
        <x:v>standalone work</x:v>
      </x:c>
      <x:c r="G98" s="60" t="str">
        <x:v>provisional German-original</x:v>
      </x:c>
      <x:c r="H98" s="20" t="str">
        <x:v>AUTO_KEEP_FLAGGED_FOR_SPOT_CHECK</x:v>
      </x:c>
      <x:c r="I98" s="20" t="str"/>
      <x:c r="J98" s="20" t="str">
        <x:v>Dein Name | Dein Name : Roman</x:v>
      </x:c>
      <x:c r="K98" s="20" t="n">
        <x:v>4</x:v>
      </x:c>
      <x:c r="L98" s="20" t="n">
        <x:v>3</x:v>
      </x:c>
      <x:c r="M98" s="20" t="n">
        <x:v>1</x:v>
      </x:c>
      <x:c r="N98" s="20" t="n">
        <x:v>0</x:v>
      </x:c>
      <x:c r="O98" s="20" t="str">
        <x:v>navid-kermani-b2bd62b6bf | navid-kermani-c6a7a965a1</x:v>
      </x:c>
      <x:c r="P98" s="20" t="str">
        <x:v>1011238136 | 102000987X | 1043990771 | 1061000885</x:v>
      </x:c>
      <x:c r="Q98" s="20" t="str">
        <x:v>830 Deutsche Literatur | B Belletristik | 830 Deutsche Literatur | 290 Andere Religionen</x:v>
      </x:c>
      <x:c r="R98" s="20" t="str"/>
      <x:c r="S98" s="20" t="str"/>
      <x:c r="T98" s="25" t="n">
        <x:v>46287.72917824074</x:v>
      </x:c>
    </x:row>
    <x:row r="99" ht="54" customHeight="1">
      <x:c r="A99" s="20" t="str">
        <x:v>work-e4e5d43aedc5</x:v>
      </x:c>
      <x:c r="B99" s="20" t="str">
        <x:v>Navid Kermani</x:v>
      </x:c>
      <x:c r="C99" s="20" t="str">
        <x:v>Du sollst</x:v>
      </x:c>
      <x:c r="D99" s="20" t="n">
        <x:v>2005</x:v>
      </x:c>
      <x:c r="E99" s="20" t="n">
        <x:v>2014</x:v>
      </x:c>
      <x:c r="F99" s="20" t="str">
        <x:v>standalone work</x:v>
      </x:c>
      <x:c r="G99" s="60" t="str">
        <x:v>provisional German-original</x:v>
      </x:c>
      <x:c r="H99" s="20" t="str">
        <x:v>AUTO_KEEP_PROVISIONAL</x:v>
      </x:c>
      <x:c r="I99" s="20" t="str"/>
      <x:c r="J99" s="20" t="str">
        <x:v>Du sollst</x:v>
      </x:c>
      <x:c r="K99" s="20" t="n">
        <x:v>3</x:v>
      </x:c>
      <x:c r="L99" s="20" t="n">
        <x:v>2</x:v>
      </x:c>
      <x:c r="M99" s="20" t="n">
        <x:v>1</x:v>
      </x:c>
      <x:c r="N99" s="20" t="n">
        <x:v>0</x:v>
      </x:c>
      <x:c r="O99" s="20" t="str">
        <x:v>navid-kermani-e4e5d43aed</x:v>
      </x:c>
      <x:c r="P99" s="20" t="str">
        <x:v>1014637937 | 1056859113 | 973193301</x:v>
      </x:c>
      <x:c r="Q99" s="20" t="str">
        <x:v>830 Deutsche Literatur | B Belletristik</x:v>
      </x:c>
      <x:c r="R99" s="20" t="str">
        <x:v>1. Aufl</x:v>
      </x:c>
      <x:c r="S99" s="20" t="str"/>
      <x:c r="T99" s="25" t="n">
        <x:v>46287.72917824074</x:v>
      </x:c>
    </x:row>
    <x:row r="100" ht="54" customHeight="1">
      <x:c r="A100" s="20" t="str">
        <x:v>work-13ec607c1167</x:v>
      </x:c>
      <x:c r="B100" s="20" t="str">
        <x:v>Navid Kermani</x:v>
      </x:c>
      <x:c r="C100" s="20" t="str">
        <x:v>Dynamit des Geistes</x:v>
      </x:c>
      <x:c r="D100" s="20" t="n">
        <x:v>2002</x:v>
      </x:c>
      <x:c r="E100" s="20" t="n">
        <x:v>2002</x:v>
      </x:c>
      <x:c r="F100" s="20" t="str">
        <x:v>standalone work</x:v>
      </x:c>
      <x:c r="G100" s="60" t="str">
        <x:v>provisional German-original</x:v>
      </x:c>
      <x:c r="H100" s="20" t="str">
        <x:v>AUTO_KEEP_PROVISIONAL</x:v>
      </x:c>
      <x:c r="I100" s="20" t="str"/>
      <x:c r="J100" s="20" t="str">
        <x:v>Dynamit des Geistes : Martyrium, Islam und Nihilismus</x:v>
      </x:c>
      <x:c r="K100" s="20" t="n">
        <x:v>1</x:v>
      </x:c>
      <x:c r="L100" s="20" t="n">
        <x:v>1</x:v>
      </x:c>
      <x:c r="M100" s="20" t="n">
        <x:v>0</x:v>
      </x:c>
      <x:c r="N100" s="20" t="n">
        <x:v>0</x:v>
      </x:c>
      <x:c r="O100" s="20" t="str">
        <x:v>navid-kermani-e1f7701c59</x:v>
      </x:c>
      <x:c r="P100" s="20" t="str">
        <x:v>964361809</x:v>
      </x:c>
      <x:c r="Q100" s="20" t="str">
        <x:v>59 Belletristik</x:v>
      </x:c>
      <x:c r="R100" s="20" t="str"/>
      <x:c r="S100" s="20" t="str"/>
      <x:c r="T100" s="25" t="n">
        <x:v>46287.72917824074</x:v>
      </x:c>
    </x:row>
    <x:row r="101" ht="54" customHeight="1">
      <x:c r="A101" s="20" t="str">
        <x:v>work-0ca098cd130a</x:v>
      </x:c>
      <x:c r="B101" s="20" t="str">
        <x:v>Navid Kermani</x:v>
      </x:c>
      <x:c r="C101" s="20" t="str">
        <x:v>Große Liebe</x:v>
      </x:c>
      <x:c r="D101" s="20" t="n">
        <x:v>2014</x:v>
      </x:c>
      <x:c r="E101" s="20" t="n">
        <x:v>2016</x:v>
      </x:c>
      <x:c r="F101" s="20" t="str">
        <x:v>standalone work</x:v>
      </x:c>
      <x:c r="G101" s="60" t="str">
        <x:v>provisional German-original</x:v>
      </x:c>
      <x:c r="H101" s="20" t="str">
        <x:v>AUTO_KEEP_PROVISIONAL</x:v>
      </x:c>
      <x:c r="I101" s="20" t="str"/>
      <x:c r="J101" s="20" t="str">
        <x:v>Große Liebe : Roman</x:v>
      </x:c>
      <x:c r="K101" s="20" t="n">
        <x:v>4</x:v>
      </x:c>
      <x:c r="L101" s="20" t="n">
        <x:v>3</x:v>
      </x:c>
      <x:c r="M101" s="20" t="n">
        <x:v>1</x:v>
      </x:c>
      <x:c r="N101" s="20" t="n">
        <x:v>0</x:v>
      </x:c>
      <x:c r="O101" s="20" t="str">
        <x:v>navid-kermani-3495e82159</x:v>
      </x:c>
      <x:c r="P101" s="20" t="str">
        <x:v>1045641251 | 1056855843 | 1058987097 | 1070566349</x:v>
      </x:c>
      <x:c r="Q101" s="20" t="str">
        <x:v>830 Deutsche Literatur | B Belletristik</x:v>
      </x:c>
      <x:c r="R101" s="20" t="str"/>
      <x:c r="S101" s="20" t="str"/>
      <x:c r="T101" s="25" t="n">
        <x:v>46287.72917824074</x:v>
      </x:c>
    </x:row>
    <x:row r="102" ht="54" customHeight="1">
      <x:c r="A102" s="20" t="str">
        <x:v>work-f2518fe255ad</x:v>
      </x:c>
      <x:c r="B102" s="20" t="str">
        <x:v>Navid Kermani</x:v>
      </x:c>
      <x:c r="C102" s="20" t="str">
        <x:v>Jeder Mensch eine Menschheit</x:v>
      </x:c>
      <x:c r="D102" s="20" t="n">
        <x:v>2015</x:v>
      </x:c>
      <x:c r="E102" s="20" t="n">
        <x:v>2015</x:v>
      </x:c>
      <x:c r="F102" s="20" t="str">
        <x:v>anthology contribution</x:v>
      </x:c>
      <x:c r="G102" s="60" t="str">
        <x:v>provisional German-original</x:v>
      </x:c>
      <x:c r="H102" s="52" t="str">
        <x:v>Queue: KEEP_ONE</x:v>
      </x:c>
      <x:c r="I102" s="20" t="str">
        <x:v>Kermani wrote the Dankrede and Mosebach wrote the laudation. They are separate texts in one publication, so I counted Kermani’s text as one contribution.</x:v>
      </x:c>
      <x:c r="J102" s="20" t="str">
        <x:v>Jeder Mensch eine Menschheit : Dankrede zum Joseph-Breitbach-Preis für "Dein Name". Mit der Laudatio von Martin Mosebach</x:v>
      </x:c>
      <x:c r="K102" s="20" t="n">
        <x:v>1</x:v>
      </x:c>
      <x:c r="L102" s="20" t="n">
        <x:v>0</x:v>
      </x:c>
      <x:c r="M102" s="20" t="n">
        <x:v>1</x:v>
      </x:c>
      <x:c r="N102" s="20" t="n">
        <x:v>0</x:v>
      </x:c>
      <x:c r="O102" s="20" t="str">
        <x:v>navid-kermani-233f06ab05</x:v>
      </x:c>
      <x:c r="P102" s="20" t="str">
        <x:v>1077704763</x:v>
      </x:c>
      <x:c r="Q102" s="20" t="str">
        <x:v>830 Deutsche Literatur</x:v>
      </x:c>
      <x:c r="R102" s="20" t="str"/>
      <x:c r="S102" s="20" t="str"/>
      <x:c r="T102" s="25" t="n">
        <x:v>46287.72917824074</x:v>
      </x:c>
    </x:row>
    <x:row r="103" ht="54" customHeight="1">
      <x:c r="A103" s="20" t="str">
        <x:v>work-e32ba2867eca</x:v>
      </x:c>
      <x:c r="B103" s="20" t="str">
        <x:v>Navid Kermani</x:v>
      </x:c>
      <x:c r="C103" s="20" t="str">
        <x:v>Kurzmitteilung</x:v>
      </x:c>
      <x:c r="D103" s="20" t="n">
        <x:v>2007</x:v>
      </x:c>
      <x:c r="E103" s="20" t="n">
        <x:v>2014</x:v>
      </x:c>
      <x:c r="F103" s="20" t="str">
        <x:v>standalone work</x:v>
      </x:c>
      <x:c r="G103" s="60" t="str">
        <x:v>provisional German-original</x:v>
      </x:c>
      <x:c r="H103" s="20" t="str">
        <x:v>AUTO_KEEP_FLAGGED_FOR_SPOT_CHECK</x:v>
      </x:c>
      <x:c r="I103" s="20" t="str"/>
      <x:c r="J103" s="20" t="str">
        <x:v>Kurzmitteilung | Kurzmitteilung : Roman</x:v>
      </x:c>
      <x:c r="K103" s="20" t="n">
        <x:v>2</x:v>
      </x:c>
      <x:c r="L103" s="20" t="n">
        <x:v>1</x:v>
      </x:c>
      <x:c r="M103" s="20" t="n">
        <x:v>1</x:v>
      </x:c>
      <x:c r="N103" s="20" t="n">
        <x:v>0</x:v>
      </x:c>
      <x:c r="O103" s="20" t="str">
        <x:v>navid-kermani-9ea0d2b5c6 | navid-kermani-e32ba2867e</x:v>
      </x:c>
      <x:c r="P103" s="20" t="str">
        <x:v>1056859156 | 982478631</x:v>
      </x:c>
      <x:c r="Q103" s="20" t="str">
        <x:v>830 Deutsche Literatur | B Belletristik</x:v>
      </x:c>
      <x:c r="R103" s="20" t="str">
        <x:v>1. Aufl</x:v>
      </x:c>
      <x:c r="S103" s="20" t="str"/>
      <x:c r="T103" s="25" t="n">
        <x:v>46287.72917824074</x:v>
      </x:c>
    </x:row>
    <x:row r="104" ht="54" customHeight="1">
      <x:c r="A104" s="20" t="str">
        <x:v>work-61ddac11a4d9</x:v>
      </x:c>
      <x:c r="B104" s="20" t="str">
        <x:v>Navid Kermani</x:v>
      </x:c>
      <x:c r="C104" s="20" t="str">
        <x:v>Sommer 24</x:v>
      </x:c>
      <x:c r="D104" s="20" t="n">
        <x:v>2026</x:v>
      </x:c>
      <x:c r="E104" s="20" t="n">
        <x:v>2026</x:v>
      </x:c>
      <x:c r="F104" s="20" t="str">
        <x:v>standalone work</x:v>
      </x:c>
      <x:c r="G104" s="60" t="str">
        <x:v>provisional German-original</x:v>
      </x:c>
      <x:c r="H104" s="20" t="str">
        <x:v>AUTO_KEEP_PROVISIONAL</x:v>
      </x:c>
      <x:c r="I104" s="20" t="str"/>
      <x:c r="J104" s="20" t="str">
        <x:v>Sommer 24 : Roman</x:v>
      </x:c>
      <x:c r="K104" s="20" t="n">
        <x:v>2</x:v>
      </x:c>
      <x:c r="L104" s="20" t="n">
        <x:v>1</x:v>
      </x:c>
      <x:c r="M104" s="20" t="n">
        <x:v>1</x:v>
      </x:c>
      <x:c r="N104" s="20" t="n">
        <x:v>0</x:v>
      </x:c>
      <x:c r="O104" s="20" t="str">
        <x:v>navid-kermani-d1f300a8fd</x:v>
      </x:c>
      <x:c r="P104" s="20" t="str">
        <x:v>1378580206 | 1381691838</x:v>
      </x:c>
      <x:c r="Q104" s="20" t="str">
        <x:v>830 Deutsche Literatur | B Belletristik</x:v>
      </x:c>
      <x:c r="R104" s="20" t="str">
        <x:v>1. Auflage</x:v>
      </x:c>
      <x:c r="S104" s="20" t="str"/>
      <x:c r="T104" s="25" t="n">
        <x:v>46287.72917824074</x:v>
      </x:c>
    </x:row>
    <x:row r="105" ht="54" customHeight="1">
      <x:c r="A105" s="20" t="str">
        <x:v>work-77a301467bf8</x:v>
      </x:c>
      <x:c r="B105" s="20" t="str">
        <x:v>Navid Kermani</x:v>
      </x:c>
      <x:c r="C105" s="20" t="str">
        <x:v>Sozusagen Paris</x:v>
      </x:c>
      <x:c r="D105" s="20" t="n">
        <x:v>2016</x:v>
      </x:c>
      <x:c r="E105" s="20" t="n">
        <x:v>2018</x:v>
      </x:c>
      <x:c r="F105" s="20" t="str">
        <x:v>standalone work</x:v>
      </x:c>
      <x:c r="G105" s="60" t="str">
        <x:v>provisional German-original</x:v>
      </x:c>
      <x:c r="H105" s="20" t="str">
        <x:v>AUTO_KEEP_FLAGGED_FOR_SPOT_CHECK</x:v>
      </x:c>
      <x:c r="I105" s="20" t="str"/>
      <x:c r="J105" s="20" t="str">
        <x:v>Sozusagen Paris : Roman | [Kermani] ; Christian Brückner liest Sozusagen Paris | [Kermani] ; Sozusagen Paris : Roman | [Sozusagen Paris] ; Christian Brückner liest Sozusagen Paris</x:v>
      </x:c>
      <x:c r="K105" s="20" t="n">
        <x:v>5</x:v>
      </x:c>
      <x:c r="L105" s="20" t="n">
        <x:v>2</x:v>
      </x:c>
      <x:c r="M105" s="20" t="n">
        <x:v>2</x:v>
      </x:c>
      <x:c r="N105" s="20" t="n">
        <x:v>2</x:v>
      </x:c>
      <x:c r="O105" s="20" t="str">
        <x:v>navid-kermani-4e205f5a7d | navid-kermani-877406ef02 | navid-kermani-bba8cfbad8 | navid-kermani-dfd2e8b61f</x:v>
      </x:c>
      <x:c r="P105" s="20" t="str">
        <x:v>1097285871 | 1098556119 | 1113986433 | 113088550X | 114815227X</x:v>
      </x:c>
      <x:c r="Q105" s="20" t="str">
        <x:v>830 Deutsche Literatur | B Belletristik</x:v>
      </x:c>
      <x:c r="R105" s="20" t="str">
        <x:v>Ungekürzte Lesung</x:v>
      </x:c>
      <x:c r="S105" s="20" t="str"/>
      <x:c r="T105" s="25" t="n">
        <x:v>46287.72917824074</x:v>
      </x:c>
    </x:row>
    <x:row r="106" ht="54" customHeight="1">
      <x:c r="A106" s="20" t="str">
        <x:v>work-5dcd3120db79</x:v>
      </x:c>
      <x:c r="B106" s="20" t="str">
        <x:v>Navid Kermani</x:v>
      </x:c>
      <x:c r="C106" s="20" t="str">
        <x:v>Über den Zufall</x:v>
      </x:c>
      <x:c r="D106" s="20" t="n">
        <x:v>2012</x:v>
      </x:c>
      <x:c r="E106" s="20" t="n">
        <x:v>2012</x:v>
      </x:c>
      <x:c r="F106" s="20" t="str">
        <x:v>standalone work</x:v>
      </x:c>
      <x:c r="G106" s="60" t="str">
        <x:v>provisional German-original</x:v>
      </x:c>
      <x:c r="H106" s="20" t="str">
        <x:v>AUTO_KEEP_FLAGGED_FOR_SPOT_CHECK</x:v>
      </x:c>
      <x:c r="I106" s="20" t="str"/>
      <x:c r="J106" s="20" t="str">
        <x:v>Über den Zufall : Jean Paul, Hölderlin und der Roman, den ich schreibe | Über den Zufall : Jean Paul, Hölderlin und der Roman, den ich schreibe ; Frankfurter Poetikvorlesungen</x:v>
      </x:c>
      <x:c r="K106" s="20" t="n">
        <x:v>2</x:v>
      </x:c>
      <x:c r="L106" s="20" t="n">
        <x:v>1</x:v>
      </x:c>
      <x:c r="M106" s="20" t="n">
        <x:v>1</x:v>
      </x:c>
      <x:c r="N106" s="20" t="n">
        <x:v>0</x:v>
      </x:c>
      <x:c r="O106" s="20" t="str">
        <x:v>navid-kermani-51dd2f95d0 | navid-kermani-ca52c925d8</x:v>
      </x:c>
      <x:c r="P106" s="20" t="str">
        <x:v>1022502271 | 1043982809</x:v>
      </x:c>
      <x:c r="Q106" s="20" t="str">
        <x:v>830 Deutsche Literatur</x:v>
      </x:c>
      <x:c r="R106" s="20" t="str"/>
      <x:c r="S106" s="20" t="str"/>
      <x:c r="T106" s="25" t="n">
        <x:v>46287.72917824074</x:v>
      </x:c>
    </x:row>
    <x:row r="107" ht="54" customHeight="1">
      <x:c r="A107" s="20" t="str">
        <x:v>work-5c8891aa972a</x:v>
      </x:c>
      <x:c r="B107" s="20" t="str">
        <x:v>Navid Kermani</x:v>
      </x:c>
      <x:c r="C107" s="20" t="str">
        <x:v>Vierzig Leben</x:v>
      </x:c>
      <x:c r="D107" s="20" t="n">
        <x:v>2004</x:v>
      </x:c>
      <x:c r="E107" s="20" t="n">
        <x:v>2018</x:v>
      </x:c>
      <x:c r="F107" s="20" t="str">
        <x:v>standalone work</x:v>
      </x:c>
      <x:c r="G107" s="60" t="str">
        <x:v>provisional German-original</x:v>
      </x:c>
      <x:c r="H107" s="20" t="str">
        <x:v>AUTO_KEEP_PROVISIONAL</x:v>
      </x:c>
      <x:c r="I107" s="20" t="str"/>
      <x:c r="J107" s="20" t="str">
        <x:v>Vierzig Leben</x:v>
      </x:c>
      <x:c r="K107" s="20" t="n">
        <x:v>3</x:v>
      </x:c>
      <x:c r="L107" s="20" t="n">
        <x:v>2</x:v>
      </x:c>
      <x:c r="M107" s="20" t="n">
        <x:v>1</x:v>
      </x:c>
      <x:c r="N107" s="20" t="n">
        <x:v>0</x:v>
      </x:c>
      <x:c r="O107" s="20" t="str">
        <x:v>navid-kermani-5c8891aa97</x:v>
      </x:c>
      <x:c r="P107" s="20" t="str">
        <x:v>1056859075 | 1147699194 | 969102585</x:v>
      </x:c>
      <x:c r="Q107" s="20" t="str">
        <x:v>830 Deutsche Literatur | B Belletristik</x:v>
      </x:c>
      <x:c r="R107" s="20" t="str">
        <x:v>1. Aufl</x:v>
      </x:c>
      <x:c r="S107" s="20" t="str"/>
      <x:c r="T107" s="25" t="n">
        <x:v>46287.72917824074</x:v>
      </x:c>
    </x:row>
    <x:row r="108" ht="54" customHeight="1">
      <x:c r="A108" s="20" t="str">
        <x:v>work-c883d1418933</x:v>
      </x:c>
      <x:c r="B108" s="20" t="str">
        <x:v>Navid Kermani</x:v>
      </x:c>
      <x:c r="C108" s="20" t="str">
        <x:v>Zu Hause ist es am Schönsten, sagte die linke Hand und hielt sich an der Heizung fest</x:v>
      </x:c>
      <x:c r="D108" s="20" t="n">
        <x:v>2025</x:v>
      </x:c>
      <x:c r="E108" s="20" t="n">
        <x:v>2025</x:v>
      </x:c>
      <x:c r="F108" s="20" t="str">
        <x:v>standalone work</x:v>
      </x:c>
      <x:c r="G108" s="60" t="str">
        <x:v>provisional German-original</x:v>
      </x:c>
      <x:c r="H108" s="20" t="str">
        <x:v>AUTO_KEEP_PROVISIONAL</x:v>
      </x:c>
      <x:c r="I108" s="20" t="str"/>
      <x:c r="J108" s="20" t="str">
        <x:v>Zu Hause ist es am Schönsten, sagte die linke Hand und hielt sich an der Heizung fest</x:v>
      </x:c>
      <x:c r="K108" s="20" t="n">
        <x:v>1</x:v>
      </x:c>
      <x:c r="L108" s="20" t="n">
        <x:v>1</x:v>
      </x:c>
      <x:c r="M108" s="20" t="n">
        <x:v>0</x:v>
      </x:c>
      <x:c r="N108" s="20" t="n">
        <x:v>0</x:v>
      </x:c>
      <x:c r="O108" s="20" t="str">
        <x:v>navid-kermani-c701facdc2</x:v>
      </x:c>
      <x:c r="P108" s="20" t="str">
        <x:v>134452236X</x:v>
      </x:c>
      <x:c r="Q108" s="20" t="str">
        <x:v>830 Deutsche Literatur | B Belletristik</x:v>
      </x:c>
      <x:c r="R108" s="20" t="str">
        <x:v>1. Auflage</x:v>
      </x:c>
      <x:c r="S108" s="20" t="str"/>
      <x:c r="T108" s="25" t="n">
        <x:v>46287.72917824074</x:v>
      </x:c>
    </x:row>
    <x:row r="109" ht="54" customHeight="1">
      <x:c r="A109" s="20" t="str">
        <x:v>work-e7ee351e6b59</x:v>
      </x:c>
      <x:c r="B109" s="20" t="str">
        <x:v>Navid Kermani</x:v>
      </x:c>
      <x:c r="C109" s="20" t="str">
        <x:v>Zwischen Koran und Kafka</x:v>
      </x:c>
      <x:c r="D109" s="20" t="n">
        <x:v>2014</x:v>
      </x:c>
      <x:c r="E109" s="20" t="n">
        <x:v>2015</x:v>
      </x:c>
      <x:c r="F109" s="20" t="str">
        <x:v>standalone work</x:v>
      </x:c>
      <x:c r="G109" s="60" t="str">
        <x:v>provisional German-original</x:v>
      </x:c>
      <x:c r="H109" s="20" t="str">
        <x:v>AUTO_KEEP_PROVISIONAL</x:v>
      </x:c>
      <x:c r="I109" s="20" t="str"/>
      <x:c r="J109" s="20" t="str">
        <x:v>Zwischen Koran und Kafka : West-östliche Erkundungen | Zwischen Koran und Kafka : west-östliche Erkundungen</x:v>
      </x:c>
      <x:c r="K109" s="20" t="n">
        <x:v>3</x:v>
      </x:c>
      <x:c r="L109" s="20" t="n">
        <x:v>2</x:v>
      </x:c>
      <x:c r="M109" s="20" t="n">
        <x:v>1</x:v>
      </x:c>
      <x:c r="N109" s="20" t="n">
        <x:v>0</x:v>
      </x:c>
      <x:c r="O109" s="20" t="str">
        <x:v>navid-kermani-1ada18d1c8</x:v>
      </x:c>
      <x:c r="P109" s="20" t="str">
        <x:v>1049955633 | 1064494277 | 1127658069</x:v>
      </x:c>
      <x:c r="Q109" s="20" t="str">
        <x:v>830 Deutsche Literatur</x:v>
      </x:c>
      <x:c r="R109" s="20" t="str">
        <x:v>1. Aufl | 5. Auflage</x:v>
      </x:c>
      <x:c r="S109" s="20" t="str"/>
      <x:c r="T109" s="25" t="n">
        <x:v>46287.72917824074</x:v>
      </x:c>
    </x:row>
    <x:row r="110" ht="94" customHeight="1">
      <x:c r="A110" s="20" t="str">
        <x:v>work-77b5c6ef6478</x:v>
      </x:c>
      <x:c r="B110" s="20" t="str">
        <x:v>Noshin Shahrokhi</x:v>
      </x:c>
      <x:c r="C110" s="20" t="str">
        <x:v>Unerfüllte Träume einer Iranerin</x:v>
      </x:c>
      <x:c r="D110" s="20" t="n">
        <x:v>2008</x:v>
      </x:c>
      <x:c r="E110" s="20" t="n">
        <x:v>2008</x:v>
      </x:c>
      <x:c r="F110" s="20" t="str">
        <x:v>standalone work</x:v>
      </x:c>
      <x:c r="G110" s="60" t="str">
        <x:v>provisional German-original</x:v>
      </x:c>
      <x:c r="H110" s="52" t="str">
        <x:v>Queue: KEEP_ONE</x:v>
      </x:c>
      <x:c r="I110" s="64" t="str">
        <x:v>DDC 890 audit: 890 is not treated as proof of translation. The record also has B Belletristik and the title term Roman; MARC language is German, with no translator role or non-German original-language code. Certainty remains provisional. Shahrokhi's author-level inclusion depends on this one work.</x:v>
      </x:c>
      <x:c r="J110" s="20" t="str">
        <x:v>Unerfüllte Träume einer Iranerin : Roman</x:v>
      </x:c>
      <x:c r="K110" s="20" t="n">
        <x:v>1</x:v>
      </x:c>
      <x:c r="L110" s="20" t="n">
        <x:v>1</x:v>
      </x:c>
      <x:c r="M110" s="20" t="n">
        <x:v>0</x:v>
      </x:c>
      <x:c r="N110" s="20" t="n">
        <x:v>0</x:v>
      </x:c>
      <x:c r="O110" s="20" t="str">
        <x:v>noshin-shahrokhi-a29aa5dd6c</x:v>
      </x:c>
      <x:c r="P110" s="20" t="str">
        <x:v>987294431</x:v>
      </x:c>
      <x:c r="Q110" s="20" t="str">
        <x:v>890 Literatur in anderen Sprachen | B Belletristik</x:v>
      </x:c>
      <x:c r="R110" s="20" t="str">
        <x:v>1. Aufl</x:v>
      </x:c>
      <x:c r="S110" s="20" t="str"/>
      <x:c r="T110" s="25" t="n">
        <x:v>46287.72917824074</x:v>
      </x:c>
    </x:row>
    <x:row r="111" ht="54" customHeight="1">
      <x:c r="A111" s="20" t="str">
        <x:v>work-9d6eb0945a77</x:v>
      </x:c>
      <x:c r="B111" s="20" t="str">
        <x:v>SAID</x:v>
      </x:c>
      <x:c r="C111" s="20" t="str">
        <x:v>Ar-Ar und Bobo</x:v>
      </x:c>
      <x:c r="D111" s="20" t="n">
        <x:v>2022</x:v>
      </x:c>
      <x:c r="E111" s="20" t="n">
        <x:v>2022</x:v>
      </x:c>
      <x:c r="F111" s="20" t="str">
        <x:v>standalone work</x:v>
      </x:c>
      <x:c r="G111" s="60" t="str">
        <x:v>provisional German-original</x:v>
      </x:c>
      <x:c r="H111" s="20" t="str">
        <x:v>AUTO_KEEP_PROVISIONAL</x:v>
      </x:c>
      <x:c r="I111" s="20" t="str"/>
      <x:c r="J111" s="20" t="str">
        <x:v>Ar-Ar und Bobo</x:v>
      </x:c>
      <x:c r="K111" s="20" t="n">
        <x:v>1</x:v>
      </x:c>
      <x:c r="L111" s="20" t="n">
        <x:v>1</x:v>
      </x:c>
      <x:c r="M111" s="20" t="n">
        <x:v>0</x:v>
      </x:c>
      <x:c r="N111" s="20" t="n">
        <x:v>0</x:v>
      </x:c>
      <x:c r="O111" s="20" t="str">
        <x:v>said-9d6eb0945a</x:v>
      </x:c>
      <x:c r="P111" s="20" t="str">
        <x:v>124719454X</x:v>
      </x:c>
      <x:c r="Q111" s="20" t="str">
        <x:v>830 Deutsche Literatur | B Belletristik</x:v>
      </x:c>
      <x:c r="R111" s="20" t="str">
        <x:v>Erste Auflage</x:v>
      </x:c>
      <x:c r="S111" s="20" t="str"/>
      <x:c r="T111" s="25" t="n">
        <x:v>46287.72917824074</x:v>
      </x:c>
    </x:row>
    <x:row r="112" ht="54" customHeight="1">
      <x:c r="A112" s="20" t="str">
        <x:v>work-9003a281e5f0</x:v>
      </x:c>
      <x:c r="B112" s="20" t="str">
        <x:v>SAID</x:v>
      </x:c>
      <x:c r="C112" s="20" t="str">
        <x:v>Auf der Suche nach dem Licht</x:v>
      </x:c>
      <x:c r="D112" s="20" t="n">
        <x:v>2016</x:v>
      </x:c>
      <x:c r="E112" s="20" t="n">
        <x:v>2016</x:v>
      </x:c>
      <x:c r="F112" s="20" t="str">
        <x:v>standalone work</x:v>
      </x:c>
      <x:c r="G112" s="60" t="str">
        <x:v>provisional German-original</x:v>
      </x:c>
      <x:c r="H112" s="20" t="str">
        <x:v>AUTO_KEEP_PROVISIONAL</x:v>
      </x:c>
      <x:c r="I112" s="20" t="str"/>
      <x:c r="J112" s="20" t="str">
        <x:v>Auf der Suche nach dem Licht</x:v>
      </x:c>
      <x:c r="K112" s="20" t="n">
        <x:v>1</x:v>
      </x:c>
      <x:c r="L112" s="20" t="n">
        <x:v>1</x:v>
      </x:c>
      <x:c r="M112" s="20" t="n">
        <x:v>0</x:v>
      </x:c>
      <x:c r="N112" s="20" t="n">
        <x:v>0</x:v>
      </x:c>
      <x:c r="O112" s="20" t="str">
        <x:v>said-9003a281e5</x:v>
      </x:c>
      <x:c r="P112" s="20" t="str">
        <x:v>1097224961</x:v>
      </x:c>
      <x:c r="Q112" s="20" t="str">
        <x:v>830 Deutsche Literatur | B Belletristik</x:v>
      </x:c>
      <x:c r="R112" s="20" t="str">
        <x:v>[1. Auflage]</x:v>
      </x:c>
      <x:c r="S112" s="20" t="str"/>
      <x:c r="T112" s="25" t="n">
        <x:v>46287.72917824074</x:v>
      </x:c>
    </x:row>
    <x:row r="113" ht="54" customHeight="1">
      <x:c r="A113" s="20" t="str">
        <x:v>work-647a6c896d61</x:v>
      </x:c>
      <x:c r="B113" s="20" t="str">
        <x:v>SAID</x:v>
      </x:c>
      <x:c r="C113" s="20" t="str">
        <x:v>Außenhaut, Binnenträume</x:v>
      </x:c>
      <x:c r="D113" s="20" t="n">
        <x:v>2002</x:v>
      </x:c>
      <x:c r="E113" s="20" t="n">
        <x:v>2002</x:v>
      </x:c>
      <x:c r="F113" s="20" t="str">
        <x:v>standalone work</x:v>
      </x:c>
      <x:c r="G113" s="60" t="str">
        <x:v>provisional German-original</x:v>
      </x:c>
      <x:c r="H113" s="20" t="str">
        <x:v>AUTO_KEEP_PROVISIONAL</x:v>
      </x:c>
      <x:c r="I113" s="20" t="str"/>
      <x:c r="J113" s="20" t="str">
        <x:v>Außenhaut, Binnenträume : Gedichte</x:v>
      </x:c>
      <x:c r="K113" s="20" t="n">
        <x:v>1</x:v>
      </x:c>
      <x:c r="L113" s="20" t="n">
        <x:v>1</x:v>
      </x:c>
      <x:c r="M113" s="20" t="n">
        <x:v>0</x:v>
      </x:c>
      <x:c r="N113" s="20" t="n">
        <x:v>0</x:v>
      </x:c>
      <x:c r="O113" s="20" t="str">
        <x:v>said-bf5497e34f</x:v>
      </x:c>
      <x:c r="P113" s="20" t="str">
        <x:v>964834383</x:v>
      </x:c>
      <x:c r="Q113" s="20" t="str">
        <x:v>59 Belletristik</x:v>
      </x:c>
      <x:c r="R113" s="20" t="str"/>
      <x:c r="S113" s="20" t="str"/>
      <x:c r="T113" s="25" t="n">
        <x:v>46287.72917824074</x:v>
      </x:c>
    </x:row>
    <x:row r="114" ht="54" customHeight="1">
      <x:c r="A114" s="20" t="str">
        <x:v>work-f4790f9381c0</x:v>
      </x:c>
      <x:c r="B114" s="20" t="str">
        <x:v>SAID</x:v>
      </x:c>
      <x:c r="C114" s="20" t="str">
        <x:v>Dann schreie ich, bis Stille ist</x:v>
      </x:c>
      <x:c r="D114" s="20" t="n">
        <x:v>1990</x:v>
      </x:c>
      <x:c r="E114" s="20" t="n">
        <x:v>1990</x:v>
      </x:c>
      <x:c r="F114" s="20" t="str">
        <x:v>standalone work</x:v>
      </x:c>
      <x:c r="G114" s="60" t="str">
        <x:v>provisional German-original</x:v>
      </x:c>
      <x:c r="H114" s="20" t="str">
        <x:v>AUTO_KEEP_PROVISIONAL</x:v>
      </x:c>
      <x:c r="I114" s="20" t="str"/>
      <x:c r="J114" s="20" t="str">
        <x:v>Dann schreie ich, bis Stille ist : Gedichte</x:v>
      </x:c>
      <x:c r="K114" s="20" t="n">
        <x:v>1</x:v>
      </x:c>
      <x:c r="L114" s="20" t="n">
        <x:v>1</x:v>
      </x:c>
      <x:c r="M114" s="20" t="n">
        <x:v>0</x:v>
      </x:c>
      <x:c r="N114" s="20" t="n">
        <x:v>0</x:v>
      </x:c>
      <x:c r="O114" s="20" t="str">
        <x:v>said-642d996f85</x:v>
      </x:c>
      <x:c r="P114" s="20" t="str">
        <x:v>901391700</x:v>
      </x:c>
      <x:c r="Q114" s="20" t="str">
        <x:v>59 Belletristik</x:v>
      </x:c>
      <x:c r="R114" s="20" t="str"/>
      <x:c r="S114" s="20" t="str"/>
      <x:c r="T114" s="25" t="n">
        <x:v>46287.72917824074</x:v>
      </x:c>
    </x:row>
    <x:row r="115" ht="54" customHeight="1">
      <x:c r="A115" s="20" t="str">
        <x:v>work-4ae7c8c31ce8</x:v>
      </x:c>
      <x:c r="B115" s="20" t="str">
        <x:v>SAID</x:v>
      </x:c>
      <x:c r="C115" s="20" t="str">
        <x:v>Das Niemandsland ist unseres</x:v>
      </x:c>
      <x:c r="D115" s="20" t="n">
        <x:v>2010</x:v>
      </x:c>
      <x:c r="E115" s="20" t="n">
        <x:v>2010</x:v>
      </x:c>
      <x:c r="F115" s="20" t="str">
        <x:v>standalone work</x:v>
      </x:c>
      <x:c r="G115" s="60" t="str">
        <x:v>provisional German-original</x:v>
      </x:c>
      <x:c r="H115" s="20" t="str">
        <x:v>AUTO_KEEP_PROVISIONAL</x:v>
      </x:c>
      <x:c r="I115" s="20" t="str"/>
      <x:c r="J115" s="20" t="str">
        <x:v>Das Niemandsland ist unseres : West-östliche Betrachtungen | Das Niemandsland ist unseres : west-östliche Betrachtungen</x:v>
      </x:c>
      <x:c r="K115" s="20" t="n">
        <x:v>2</x:v>
      </x:c>
      <x:c r="L115" s="20" t="n">
        <x:v>1</x:v>
      </x:c>
      <x:c r="M115" s="20" t="n">
        <x:v>1</x:v>
      </x:c>
      <x:c r="N115" s="20" t="n">
        <x:v>0</x:v>
      </x:c>
      <x:c r="O115" s="20" t="str">
        <x:v>said-f589ff49b5</x:v>
      </x:c>
      <x:c r="P115" s="20" t="str">
        <x:v>1016638752 | 996088083</x:v>
      </x:c>
      <x:c r="Q115" s="20" t="str">
        <x:v>830 Deutsche Literatur | B Belletristik</x:v>
      </x:c>
      <x:c r="R115" s="20" t="str"/>
      <x:c r="S115" s="20" t="str"/>
      <x:c r="T115" s="25" t="n">
        <x:v>46287.72917824074</x:v>
      </x:c>
    </x:row>
    <x:row r="116" ht="54" customHeight="1">
      <x:c r="A116" s="20" t="str">
        <x:v>work-1c2979c0daf4</x:v>
      </x:c>
      <x:c r="B116" s="20" t="str">
        <x:v>SAID</x:v>
      </x:c>
      <x:c r="C116" s="20" t="str">
        <x:v>Das Rot lächelt, das Blau schweigt</x:v>
      </x:c>
      <x:c r="D116" s="20" t="n">
        <x:v>2006</x:v>
      </x:c>
      <x:c r="E116" s="20" t="n">
        <x:v>2006</x:v>
      </x:c>
      <x:c r="F116" s="20" t="str">
        <x:v>standalone work</x:v>
      </x:c>
      <x:c r="G116" s="60" t="str">
        <x:v>provisional German-original</x:v>
      </x:c>
      <x:c r="H116" s="20" t="str">
        <x:v>AUTO_KEEP_PROVISIONAL</x:v>
      </x:c>
      <x:c r="I116" s="20" t="str"/>
      <x:c r="J116" s="20" t="str">
        <x:v>Das Rot lächelt, das Blau schweigt : Geschichten über Bilder</x:v>
      </x:c>
      <x:c r="K116" s="20" t="n">
        <x:v>1</x:v>
      </x:c>
      <x:c r="L116" s="20" t="n">
        <x:v>1</x:v>
      </x:c>
      <x:c r="M116" s="20" t="n">
        <x:v>0</x:v>
      </x:c>
      <x:c r="N116" s="20" t="n">
        <x:v>0</x:v>
      </x:c>
      <x:c r="O116" s="20" t="str">
        <x:v>said-bab69a4998</x:v>
      </x:c>
      <x:c r="P116" s="20" t="str">
        <x:v>979334586</x:v>
      </x:c>
      <x:c r="Q116" s="20" t="str">
        <x:v>750 Malerei | 890 Literatur in anderen Sprachen | B Belletristik</x:v>
      </x:c>
      <x:c r="R116" s="20" t="str"/>
      <x:c r="S116" s="20" t="str"/>
      <x:c r="T116" s="25" t="n">
        <x:v>46287.72917824074</x:v>
      </x:c>
    </x:row>
    <x:row r="117" ht="54" customHeight="1">
      <x:c r="A117" s="20" t="str">
        <x:v>work-a90f224413a6</x:v>
      </x:c>
      <x:c r="B117" s="20" t="str">
        <x:v>SAID</x:v>
      </x:c>
      <x:c r="C117" s="20" t="str">
        <x:v>Der Engel und die Taube</x:v>
      </x:c>
      <x:c r="D117" s="20" t="n">
        <x:v>2008</x:v>
      </x:c>
      <x:c r="E117" s="20" t="n">
        <x:v>2008</x:v>
      </x:c>
      <x:c r="F117" s="20" t="str">
        <x:v>standalone work</x:v>
      </x:c>
      <x:c r="G117" s="60" t="str">
        <x:v>provisional German-original</x:v>
      </x:c>
      <x:c r="H117" s="20" t="str">
        <x:v>AUTO_KEEP_PROVISIONAL</x:v>
      </x:c>
      <x:c r="I117" s="20" t="str"/>
      <x:c r="J117" s="20" t="str">
        <x:v>Der Engel und die Taube : Erzählungen</x:v>
      </x:c>
      <x:c r="K117" s="20" t="n">
        <x:v>1</x:v>
      </x:c>
      <x:c r="L117" s="20" t="n">
        <x:v>1</x:v>
      </x:c>
      <x:c r="M117" s="20" t="n">
        <x:v>0</x:v>
      </x:c>
      <x:c r="N117" s="20" t="n">
        <x:v>0</x:v>
      </x:c>
      <x:c r="O117" s="20" t="str">
        <x:v>said-df6ce62094</x:v>
      </x:c>
      <x:c r="P117" s="20" t="str">
        <x:v>987935291</x:v>
      </x:c>
      <x:c r="Q117" s="20" t="str">
        <x:v>890 Literatur in anderen Sprachen | B Belletristik</x:v>
      </x:c>
      <x:c r="R117" s="20" t="str"/>
      <x:c r="S117" s="20" t="str"/>
      <x:c r="T117" s="25" t="n">
        <x:v>46287.72917824074</x:v>
      </x:c>
    </x:row>
    <x:row r="118" ht="54" customHeight="1">
      <x:c r="A118" s="20" t="str">
        <x:v>work-ff8776d2379d</x:v>
      </x:c>
      <x:c r="B118" s="20" t="str">
        <x:v>SAID</x:v>
      </x:c>
      <x:c r="C118" s="20" t="str">
        <x:v>Die Ballade vom Esel Trauermaul</x:v>
      </x:c>
      <x:c r="D118" s="20" t="n">
        <x:v>1999</x:v>
      </x:c>
      <x:c r="E118" s="20" t="n">
        <x:v>1999</x:v>
      </x:c>
      <x:c r="F118" s="20" t="str">
        <x:v>standalone work</x:v>
      </x:c>
      <x:c r="G118" s="60" t="str">
        <x:v>provisional German-original</x:v>
      </x:c>
      <x:c r="H118" s="20" t="str">
        <x:v>AUTO_KEEP_PROVISIONAL</x:v>
      </x:c>
      <x:c r="I118" s="20" t="str"/>
      <x:c r="J118" s="20" t="str">
        <x:v>Die Ballade vom Esel Trauermaul</x:v>
      </x:c>
      <x:c r="K118" s="20" t="n">
        <x:v>1</x:v>
      </x:c>
      <x:c r="L118" s="20" t="n">
        <x:v>1</x:v>
      </x:c>
      <x:c r="M118" s="20" t="n">
        <x:v>0</x:v>
      </x:c>
      <x:c r="N118" s="20" t="n">
        <x:v>0</x:v>
      </x:c>
      <x:c r="O118" s="20" t="str">
        <x:v>said-ff8776d237</x:v>
      </x:c>
      <x:c r="P118" s="20" t="str">
        <x:v>958440573</x:v>
      </x:c>
      <x:c r="Q118" s="20" t="str">
        <x:v>46 Bildende Kunst | 59 Belletristik | 02 Schrift, Buch, Bibliothek, Information und Dokumentation</x:v>
      </x:c>
      <x:c r="R118" s="20" t="str">
        <x:v>Einmalige Aufl</x:v>
      </x:c>
      <x:c r="S118" s="20" t="str"/>
      <x:c r="T118" s="25" t="n">
        <x:v>46287.72917824074</x:v>
      </x:c>
    </x:row>
    <x:row r="119" ht="54" customHeight="1">
      <x:c r="A119" s="20" t="str">
        <x:v>work-551f1085d442</x:v>
      </x:c>
      <x:c r="B119" s="20" t="str">
        <x:v>SAID</x:v>
      </x:c>
      <x:c r="C119" s="20" t="str">
        <x:v>Dieses Tier, das es nicht gibt</x:v>
      </x:c>
      <x:c r="D119" s="20" t="n">
        <x:v>1999</x:v>
      </x:c>
      <x:c r="E119" s="20" t="n">
        <x:v>1999</x:v>
      </x:c>
      <x:c r="F119" s="20" t="str">
        <x:v>standalone work</x:v>
      </x:c>
      <x:c r="G119" s="60" t="str">
        <x:v>provisional German-original</x:v>
      </x:c>
      <x:c r="H119" s="20" t="str">
        <x:v>AUTO_KEEP_PROVISIONAL</x:v>
      </x:c>
      <x:c r="I119" s="20" t="str"/>
      <x:c r="J119" s="20" t="str">
        <x:v>Dieses Tier, das es nicht gibt : ein Bestiarium</x:v>
      </x:c>
      <x:c r="K119" s="20" t="n">
        <x:v>1</x:v>
      </x:c>
      <x:c r="L119" s="20" t="n">
        <x:v>1</x:v>
      </x:c>
      <x:c r="M119" s="20" t="n">
        <x:v>0</x:v>
      </x:c>
      <x:c r="N119" s="20" t="n">
        <x:v>0</x:v>
      </x:c>
      <x:c r="O119" s="20" t="str">
        <x:v>said-c9cdfe84bf</x:v>
      </x:c>
      <x:c r="P119" s="20" t="str">
        <x:v>956679471</x:v>
      </x:c>
      <x:c r="Q119" s="20" t="str">
        <x:v>59 Belletristik</x:v>
      </x:c>
      <x:c r="R119" s="20" t="str"/>
      <x:c r="S119" s="20" t="str"/>
      <x:c r="T119" s="25" t="n">
        <x:v>46287.72917824074</x:v>
      </x:c>
    </x:row>
    <x:row r="120" ht="54" customHeight="1">
      <x:c r="A120" s="20" t="str">
        <x:v>work-e5a2875b4401</x:v>
      </x:c>
      <x:c r="B120" s="20" t="str">
        <x:v>SAID</x:v>
      </x:c>
      <x:c r="C120" s="20" t="str">
        <x:v>Ein vibrierendes Kind</x:v>
      </x:c>
      <x:c r="D120" s="20" t="n">
        <x:v>2022</x:v>
      </x:c>
      <x:c r="E120" s="20" t="n">
        <x:v>2022</x:v>
      </x:c>
      <x:c r="F120" s="20" t="str">
        <x:v>standalone work</x:v>
      </x:c>
      <x:c r="G120" s="60" t="str">
        <x:v>provisional German-original</x:v>
      </x:c>
      <x:c r="H120" s="20" t="str">
        <x:v>AUTO_KEEP_PROVISIONAL</x:v>
      </x:c>
      <x:c r="I120" s="20" t="str"/>
      <x:c r="J120" s="20" t="str">
        <x:v>Ein vibrierendes Kind : Erinnerungen an eine persische Kindheit</x:v>
      </x:c>
      <x:c r="K120" s="20" t="n">
        <x:v>2</x:v>
      </x:c>
      <x:c r="L120" s="20" t="n">
        <x:v>1</x:v>
      </x:c>
      <x:c r="M120" s="20" t="n">
        <x:v>1</x:v>
      </x:c>
      <x:c r="N120" s="20" t="n">
        <x:v>0</x:v>
      </x:c>
      <x:c r="O120" s="20" t="str">
        <x:v>said-7c9f6dcc2e</x:v>
      </x:c>
      <x:c r="P120" s="20" t="str">
        <x:v>1244537594 | 1257788787</x:v>
      </x:c>
      <x:c r="Q120" s="20" t="str">
        <x:v>830 Deutsche Literatur | B Belletristik</x:v>
      </x:c>
      <x:c r="R120" s="20" t="str">
        <x:v>1. Auflage</x:v>
      </x:c>
      <x:c r="S120" s="20" t="str"/>
      <x:c r="T120" s="25" t="n">
        <x:v>46287.72917824074</x:v>
      </x:c>
    </x:row>
    <x:row r="121" ht="54" customHeight="1">
      <x:c r="A121" s="20" t="str">
        <x:v>work-66d1d5d75962</x:v>
      </x:c>
      <x:c r="B121" s="20" t="str">
        <x:v>SAID</x:v>
      </x:c>
      <x:c r="C121" s="20" t="str">
        <x:v>Flüstern gegen die Wölfe</x:v>
      </x:c>
      <x:c r="D121" s="20" t="n">
        <x:v>2021</x:v>
      </x:c>
      <x:c r="E121" s="20" t="n">
        <x:v>2021</x:v>
      </x:c>
      <x:c r="F121" s="20" t="str">
        <x:v>standalone work</x:v>
      </x:c>
      <x:c r="G121" s="60" t="str">
        <x:v>provisional German-original</x:v>
      </x:c>
      <x:c r="H121" s="20" t="str">
        <x:v>AUTO_KEEP_PROVISIONAL</x:v>
      </x:c>
      <x:c r="I121" s="20" t="str"/>
      <x:c r="J121" s="20" t="str">
        <x:v>Flüstern gegen die Wölfe : Geschichten</x:v>
      </x:c>
      <x:c r="K121" s="20" t="n">
        <x:v>1</x:v>
      </x:c>
      <x:c r="L121" s="20" t="n">
        <x:v>1</x:v>
      </x:c>
      <x:c r="M121" s="20" t="n">
        <x:v>0</x:v>
      </x:c>
      <x:c r="N121" s="20" t="n">
        <x:v>0</x:v>
      </x:c>
      <x:c r="O121" s="20" t="str">
        <x:v>said-af205475e8</x:v>
      </x:c>
      <x:c r="P121" s="20" t="str">
        <x:v>1222691345</x:v>
      </x:c>
      <x:c r="Q121" s="20" t="str">
        <x:v>830 Deutsche Literatur | B Belletristik</x:v>
      </x:c>
      <x:c r="R121" s="20" t="str"/>
      <x:c r="S121" s="20" t="str"/>
      <x:c r="T121" s="25" t="n">
        <x:v>46287.72917824074</x:v>
      </x:c>
    </x:row>
    <x:row r="122" ht="54" customHeight="1">
      <x:c r="A122" s="20" t="str">
        <x:v>work-49f520f7f2a2</x:v>
      </x:c>
      <x:c r="B122" s="20" t="str">
        <x:v>SAID</x:v>
      </x:c>
      <x:c r="C122" s="20" t="str">
        <x:v>Ich und der Schah</x:v>
      </x:c>
      <x:c r="D122" s="20" t="n">
        <x:v>1987</x:v>
      </x:c>
      <x:c r="E122" s="20" t="n">
        <x:v>1987</x:v>
      </x:c>
      <x:c r="F122" s="20" t="str">
        <x:v>standalone work</x:v>
      </x:c>
      <x:c r="G122" s="60" t="str">
        <x:v>provisional German-original</x:v>
      </x:c>
      <x:c r="H122" s="20" t="str">
        <x:v>AUTO_KEEP_PROVISIONAL</x:v>
      </x:c>
      <x:c r="I122" s="20" t="str"/>
      <x:c r="J122" s="20" t="str">
        <x:v>Ich und der Schah</x:v>
      </x:c>
      <x:c r="K122" s="20" t="n">
        <x:v>1</x:v>
      </x:c>
      <x:c r="L122" s="20" t="n">
        <x:v>1</x:v>
      </x:c>
      <x:c r="M122" s="20" t="n">
        <x:v>0</x:v>
      </x:c>
      <x:c r="N122" s="20" t="n">
        <x:v>0</x:v>
      </x:c>
      <x:c r="O122" s="20" t="str">
        <x:v>said-49f520f7f2</x:v>
      </x:c>
      <x:c r="P122" s="20" t="str">
        <x:v>942026713</x:v>
      </x:c>
      <x:c r="Q122" s="20" t="str">
        <x:v>59 Belletristik</x:v>
      </x:c>
      <x:c r="R122" s="20" t="str">
        <x:v>1. Aufl</x:v>
      </x:c>
      <x:c r="S122" s="20" t="str"/>
      <x:c r="T122" s="25" t="n">
        <x:v>46287.72917824074</x:v>
      </x:c>
    </x:row>
    <x:row r="123" ht="54" customHeight="1">
      <x:c r="A123" s="20" t="str">
        <x:v>work-1f86492bf354</x:v>
      </x:c>
      <x:c r="B123" s="20" t="str">
        <x:v>SAID</x:v>
      </x:c>
      <x:c r="C123" s="20" t="str">
        <x:v>Ich, Jesus von Nazareth</x:v>
      </x:c>
      <x:c r="D123" s="20" t="n">
        <x:v>2018</x:v>
      </x:c>
      <x:c r="E123" s="20" t="n">
        <x:v>2018</x:v>
      </x:c>
      <x:c r="F123" s="20" t="str">
        <x:v>standalone work</x:v>
      </x:c>
      <x:c r="G123" s="60" t="str">
        <x:v>provisional German-original</x:v>
      </x:c>
      <x:c r="H123" s="20" t="str">
        <x:v>AUTO_KEEP_PROVISIONAL</x:v>
      </x:c>
      <x:c r="I123" s="20" t="str"/>
      <x:c r="J123" s="20" t="str">
        <x:v>Ich, Jesus von Nazareth</x:v>
      </x:c>
      <x:c r="K123" s="20" t="n">
        <x:v>1</x:v>
      </x:c>
      <x:c r="L123" s="20" t="n">
        <x:v>1</x:v>
      </x:c>
      <x:c r="M123" s="20" t="n">
        <x:v>0</x:v>
      </x:c>
      <x:c r="N123" s="20" t="n">
        <x:v>0</x:v>
      </x:c>
      <x:c r="O123" s="20" t="str">
        <x:v>said-1f86492bf3</x:v>
      </x:c>
      <x:c r="P123" s="20" t="str">
        <x:v>1144214734</x:v>
      </x:c>
      <x:c r="Q123" s="20" t="str">
        <x:v>830 Deutsche Literatur | B Belletristik</x:v>
      </x:c>
      <x:c r="R123" s="20" t="str"/>
      <x:c r="S123" s="20" t="str"/>
      <x:c r="T123" s="25" t="n">
        <x:v>46287.72917824074</x:v>
      </x:c>
    </x:row>
    <x:row r="124" ht="54" customHeight="1">
      <x:c r="A124" s="20" t="str">
        <x:v>work-0b4c47db6b64</x:v>
      </x:c>
      <x:c r="B124" s="20" t="str">
        <x:v>SAID</x:v>
      </x:c>
      <x:c r="C124" s="20" t="str">
        <x:v>Landschaften einer fernen Mutter</x:v>
      </x:c>
      <x:c r="D124" s="20" t="n">
        <x:v>2001</x:v>
      </x:c>
      <x:c r="E124" s="20" t="n">
        <x:v>2003</x:v>
      </x:c>
      <x:c r="F124" s="20" t="str">
        <x:v>standalone work</x:v>
      </x:c>
      <x:c r="G124" s="60" t="str">
        <x:v>provisional German-original</x:v>
      </x:c>
      <x:c r="H124" s="20" t="str">
        <x:v>AUTO_KEEP_PROVISIONAL</x:v>
      </x:c>
      <x:c r="I124" s="20" t="str"/>
      <x:c r="J124" s="20" t="str">
        <x:v>Landschaften einer fernen Mutter</x:v>
      </x:c>
      <x:c r="K124" s="20" t="n">
        <x:v>2</x:v>
      </x:c>
      <x:c r="L124" s="20" t="n">
        <x:v>2</x:v>
      </x:c>
      <x:c r="M124" s="20" t="n">
        <x:v>0</x:v>
      </x:c>
      <x:c r="N124" s="20" t="n">
        <x:v>0</x:v>
      </x:c>
      <x:c r="O124" s="20" t="str">
        <x:v>said-0b4c47db6b</x:v>
      </x:c>
      <x:c r="P124" s="20" t="str">
        <x:v>960161201 | 966306147</x:v>
      </x:c>
      <x:c r="Q124" s="20" t="str">
        <x:v>59 Belletristik</x:v>
      </x:c>
      <x:c r="R124" s="20" t="str">
        <x:v>Ungekürzte Ausg</x:v>
      </x:c>
      <x:c r="S124" s="20" t="str"/>
      <x:c r="T124" s="25" t="n">
        <x:v>46287.72917824074</x:v>
      </x:c>
    </x:row>
    <x:row r="125" ht="54" customHeight="1">
      <x:c r="A125" s="20" t="str">
        <x:v>work-522206c51b14</x:v>
      </x:c>
      <x:c r="B125" s="20" t="str">
        <x:v>SAID</x:v>
      </x:c>
      <x:c r="C125" s="20" t="str">
        <x:v>Liebesgedichte</x:v>
      </x:c>
      <x:c r="D125" s="20" t="n">
        <x:v>1981</x:v>
      </x:c>
      <x:c r="E125" s="20" t="n">
        <x:v>1985</x:v>
      </x:c>
      <x:c r="F125" s="20" t="str">
        <x:v>standalone work</x:v>
      </x:c>
      <x:c r="G125" s="60" t="str">
        <x:v>provisional German-original</x:v>
      </x:c>
      <x:c r="H125" s="20" t="str">
        <x:v>AUTO_KEEP_PROVISIONAL</x:v>
      </x:c>
      <x:c r="I125" s="20" t="str"/>
      <x:c r="J125" s="20" t="str">
        <x:v>Liebesgedichte</x:v>
      </x:c>
      <x:c r="K125" s="20" t="n">
        <x:v>2</x:v>
      </x:c>
      <x:c r="L125" s="20" t="n">
        <x:v>2</x:v>
      </x:c>
      <x:c r="M125" s="20" t="n">
        <x:v>0</x:v>
      </x:c>
      <x:c r="N125" s="20" t="n">
        <x:v>0</x:v>
      </x:c>
      <x:c r="O125" s="20" t="str">
        <x:v>said-522206c51b</x:v>
      </x:c>
      <x:c r="P125" s="20" t="str">
        <x:v>890511381 | 891384685</x:v>
      </x:c>
      <x:c r="Q125" s="20" t="str">
        <x:v>59 Belletristik</x:v>
      </x:c>
      <x:c r="R125" s="20" t="str">
        <x:v>3., unveränd. Aufl</x:v>
      </x:c>
      <x:c r="S125" s="20" t="str"/>
      <x:c r="T125" s="25" t="n">
        <x:v>46287.72917824074</x:v>
      </x:c>
    </x:row>
    <x:row r="126" ht="54" customHeight="1">
      <x:c r="A126" s="20" t="str">
        <x:v>work-6228997a1f61</x:v>
      </x:c>
      <x:c r="B126" s="20" t="str">
        <x:v>SAID</x:v>
      </x:c>
      <x:c r="C126" s="20" t="str">
        <x:v>Parlando mit Le Phung</x:v>
      </x:c>
      <x:c r="D126" s="20" t="n">
        <x:v>2013</x:v>
      </x:c>
      <x:c r="E126" s="20" t="n">
        <x:v>2013</x:v>
      </x:c>
      <x:c r="F126" s="20" t="str">
        <x:v>standalone work</x:v>
      </x:c>
      <x:c r="G126" s="60" t="str">
        <x:v>provisional German-original</x:v>
      </x:c>
      <x:c r="H126" s="20" t="str">
        <x:v>AUTO_KEEP_PROVISIONAL</x:v>
      </x:c>
      <x:c r="I126" s="20" t="str"/>
      <x:c r="J126" s="20" t="str">
        <x:v>Parlando mit Le Phung</x:v>
      </x:c>
      <x:c r="K126" s="20" t="n">
        <x:v>1</x:v>
      </x:c>
      <x:c r="L126" s="20" t="n">
        <x:v>1</x:v>
      </x:c>
      <x:c r="M126" s="20" t="n">
        <x:v>0</x:v>
      </x:c>
      <x:c r="N126" s="20" t="n">
        <x:v>0</x:v>
      </x:c>
      <x:c r="O126" s="20" t="str">
        <x:v>said-6228997a1f</x:v>
      </x:c>
      <x:c r="P126" s="20" t="str">
        <x:v>1029097291</x:v>
      </x:c>
      <x:c r="Q126" s="20" t="str">
        <x:v>830 Deutsche Literatur | B Belletristik</x:v>
      </x:c>
      <x:c r="R126" s="20" t="str">
        <x:v>1. Aufl</x:v>
      </x:c>
      <x:c r="S126" s="20" t="str"/>
      <x:c r="T126" s="25" t="n">
        <x:v>46287.72917824074</x:v>
      </x:c>
    </x:row>
    <x:row r="127" ht="54" customHeight="1">
      <x:c r="A127" s="20" t="str">
        <x:v>work-78e1ec38dffe</x:v>
      </x:c>
      <x:c r="B127" s="20" t="str">
        <x:v>SAID</x:v>
      </x:c>
      <x:c r="C127" s="20" t="str">
        <x:v>Psalmen</x:v>
      </x:c>
      <x:c r="D127" s="20" t="n">
        <x:v>2007</x:v>
      </x:c>
      <x:c r="E127" s="20" t="n">
        <x:v>2016</x:v>
      </x:c>
      <x:c r="F127" s="20" t="str">
        <x:v>standalone work</x:v>
      </x:c>
      <x:c r="G127" s="60" t="str">
        <x:v>provisional German-original</x:v>
      </x:c>
      <x:c r="H127" s="20" t="str">
        <x:v>AUTO_KEEP_PROVISIONAL</x:v>
      </x:c>
      <x:c r="I127" s="20" t="str"/>
      <x:c r="J127" s="20" t="str">
        <x:v>Psalmen</x:v>
      </x:c>
      <x:c r="K127" s="20" t="n">
        <x:v>2</x:v>
      </x:c>
      <x:c r="L127" s="20" t="n">
        <x:v>2</x:v>
      </x:c>
      <x:c r="M127" s="20" t="n">
        <x:v>0</x:v>
      </x:c>
      <x:c r="N127" s="20" t="n">
        <x:v>0</x:v>
      </x:c>
      <x:c r="O127" s="20" t="str">
        <x:v>said-78e1ec38df</x:v>
      </x:c>
      <x:c r="P127" s="20" t="str">
        <x:v>1081911212 | 982044739</x:v>
      </x:c>
      <x:c r="Q127" s="20" t="str">
        <x:v>830 Deutsche Literatur | B Belletristik</x:v>
      </x:c>
      <x:c r="R127" s="20" t="str">
        <x:v>4. Auflage</x:v>
      </x:c>
      <x:c r="S127" s="20" t="str"/>
      <x:c r="T127" s="25" t="n">
        <x:v>46287.72917824074</x:v>
      </x:c>
    </x:row>
    <x:row r="128" ht="54" customHeight="1">
      <x:c r="A128" s="20" t="str">
        <x:v>work-fcfbc7d7e329</x:v>
      </x:c>
      <x:c r="B128" s="20" t="str">
        <x:v>SAID</x:v>
      </x:c>
      <x:c r="C128" s="20" t="str">
        <x:v>Ruf zurück die Vögel</x:v>
      </x:c>
      <x:c r="D128" s="20" t="n">
        <x:v>2010</x:v>
      </x:c>
      <x:c r="E128" s="20" t="n">
        <x:v>2010</x:v>
      </x:c>
      <x:c r="F128" s="20" t="str">
        <x:v>standalone work</x:v>
      </x:c>
      <x:c r="G128" s="60" t="str">
        <x:v>provisional German-original</x:v>
      </x:c>
      <x:c r="H128" s="20" t="str">
        <x:v>AUTO_KEEP_PROVISIONAL</x:v>
      </x:c>
      <x:c r="I128" s="20" t="str"/>
      <x:c r="J128" s="20" t="str">
        <x:v>Ruf zurück die Vögel : Neue Gedichte | Ruf zurück die Vögel : neue Gedichte</x:v>
      </x:c>
      <x:c r="K128" s="20" t="n">
        <x:v>2</x:v>
      </x:c>
      <x:c r="L128" s="20" t="n">
        <x:v>1</x:v>
      </x:c>
      <x:c r="M128" s="20" t="n">
        <x:v>1</x:v>
      </x:c>
      <x:c r="N128" s="20" t="n">
        <x:v>0</x:v>
      </x:c>
      <x:c r="O128" s="20" t="str">
        <x:v>said-ec098d5e02</x:v>
      </x:c>
      <x:c r="P128" s="20" t="str">
        <x:v>1049922514 | 996952519</x:v>
      </x:c>
      <x:c r="Q128" s="20" t="str">
        <x:v>830 Deutsche Literatur | B Belletristik</x:v>
      </x:c>
      <x:c r="R128" s="20" t="str">
        <x:v>1. Aufl</x:v>
      </x:c>
      <x:c r="S128" s="20" t="str"/>
      <x:c r="T128" s="25" t="n">
        <x:v>46287.72917824074</x:v>
      </x:c>
    </x:row>
    <x:row r="129" ht="54" customHeight="1">
      <x:c r="A129" s="20" t="str">
        <x:v>work-856745efb7bb</x:v>
      </x:c>
      <x:c r="B129" s="20" t="str">
        <x:v>SAID</x:v>
      </x:c>
      <x:c r="C129" s="20" t="str">
        <x:v>Sei Nacht zu mir</x:v>
      </x:c>
      <x:c r="D129" s="20" t="n">
        <x:v>1998</x:v>
      </x:c>
      <x:c r="E129" s="20" t="n">
        <x:v>2017</x:v>
      </x:c>
      <x:c r="F129" s="20" t="str">
        <x:v>standalone work</x:v>
      </x:c>
      <x:c r="G129" s="60" t="str">
        <x:v>provisional German-original</x:v>
      </x:c>
      <x:c r="H129" s="20" t="str">
        <x:v>AUTO_KEEP_PROVISIONAL</x:v>
      </x:c>
      <x:c r="I129" s="20" t="str"/>
      <x:c r="J129" s="20" t="str">
        <x:v>Sei Nacht zu mir : Liebesgedichte</x:v>
      </x:c>
      <x:c r="K129" s="20" t="n">
        <x:v>2</x:v>
      </x:c>
      <x:c r="L129" s="20" t="n">
        <x:v>2</x:v>
      </x:c>
      <x:c r="M129" s="20" t="n">
        <x:v>0</x:v>
      </x:c>
      <x:c r="N129" s="20" t="n">
        <x:v>0</x:v>
      </x:c>
      <x:c r="O129" s="20" t="str">
        <x:v>said-91596bcfb9</x:v>
      </x:c>
      <x:c r="P129" s="20" t="str">
        <x:v>1139208705 | 953528723</x:v>
      </x:c>
      <x:c r="Q129" s="20" t="str">
        <x:v>830 Deutsche Literatur | B Belletristik | 59 Belletristik</x:v>
      </x:c>
      <x:c r="R129" s="20" t="str">
        <x:v>4. Auflage</x:v>
      </x:c>
      <x:c r="S129" s="20" t="str"/>
      <x:c r="T129" s="25" t="n">
        <x:v>46287.72917824074</x:v>
      </x:c>
    </x:row>
    <x:row r="130" ht="54" customHeight="1">
      <x:c r="A130" s="20" t="str">
        <x:v>work-9035a8b6c112</x:v>
      </x:c>
      <x:c r="B130" s="20" t="str">
        <x:v>SAID</x:v>
      </x:c>
      <x:c r="C130" s="20" t="str">
        <x:v>Selbstbildnis für eine ferne Mutter</x:v>
      </x:c>
      <x:c r="D130" s="20" t="n">
        <x:v>1992</x:v>
      </x:c>
      <x:c r="E130" s="20" t="n">
        <x:v>1992</x:v>
      </x:c>
      <x:c r="F130" s="20" t="str">
        <x:v>standalone work</x:v>
      </x:c>
      <x:c r="G130" s="60" t="str">
        <x:v>provisional German-original</x:v>
      </x:c>
      <x:c r="H130" s="20" t="str">
        <x:v>AUTO_KEEP_PROVISIONAL</x:v>
      </x:c>
      <x:c r="I130" s="20" t="str"/>
      <x:c r="J130" s="20" t="str">
        <x:v>Selbstbildnis für eine ferne Mutter</x:v>
      </x:c>
      <x:c r="K130" s="20" t="n">
        <x:v>1</x:v>
      </x:c>
      <x:c r="L130" s="20" t="n">
        <x:v>1</x:v>
      </x:c>
      <x:c r="M130" s="20" t="n">
        <x:v>0</x:v>
      </x:c>
      <x:c r="N130" s="20" t="n">
        <x:v>0</x:v>
      </x:c>
      <x:c r="O130" s="20" t="str">
        <x:v>said-deccee364e</x:v>
      </x:c>
      <x:c r="P130" s="20" t="str">
        <x:v>948097302</x:v>
      </x:c>
      <x:c r="Q130" s="20" t="str">
        <x:v>59 Belletristik</x:v>
      </x:c>
      <x:c r="R130" s="20" t="str">
        <x:v>1. Aufl., 1. - 3. Tsd</x:v>
      </x:c>
      <x:c r="S130" s="20" t="str"/>
      <x:c r="T130" s="25" t="n">
        <x:v>46287.72917824074</x:v>
      </x:c>
    </x:row>
    <x:row r="131" ht="54" customHeight="1">
      <x:c r="A131" s="20" t="str">
        <x:v>work-53a2489a6213</x:v>
      </x:c>
      <x:c r="B131" s="20" t="str">
        <x:v>SAID</x:v>
      </x:c>
      <x:c r="C131" s="20" t="str">
        <x:v>September in Varna</x:v>
      </x:c>
      <x:c r="D131" s="20" t="n">
        <x:v>2019</x:v>
      </x:c>
      <x:c r="E131" s="20" t="n">
        <x:v>2019</x:v>
      </x:c>
      <x:c r="F131" s="20" t="str">
        <x:v>standalone work</x:v>
      </x:c>
      <x:c r="G131" s="60" t="str">
        <x:v>provisional German-original</x:v>
      </x:c>
      <x:c r="H131" s="20" t="str">
        <x:v>AUTO_KEEP_PROVISIONAL</x:v>
      </x:c>
      <x:c r="I131" s="20" t="str"/>
      <x:c r="J131" s="20" t="str">
        <x:v>September in Varna</x:v>
      </x:c>
      <x:c r="K131" s="20" t="n">
        <x:v>1</x:v>
      </x:c>
      <x:c r="L131" s="20" t="n">
        <x:v>1</x:v>
      </x:c>
      <x:c r="M131" s="20" t="n">
        <x:v>0</x:v>
      </x:c>
      <x:c r="N131" s="20" t="n">
        <x:v>0</x:v>
      </x:c>
      <x:c r="O131" s="20" t="str">
        <x:v>said-53a2489a62</x:v>
      </x:c>
      <x:c r="P131" s="20" t="str">
        <x:v>117221509X</x:v>
      </x:c>
      <x:c r="Q131" s="20" t="str">
        <x:v>830 Deutsche Literatur | B Belletristik</x:v>
      </x:c>
      <x:c r="R131" s="20" t="str"/>
      <x:c r="S131" s="20" t="str"/>
      <x:c r="T131" s="25" t="n">
        <x:v>46287.72917824074</x:v>
      </x:c>
    </x:row>
    <x:row r="132" ht="54" customHeight="1">
      <x:c r="A132" s="20" t="str">
        <x:v>work-64f0947551ff</x:v>
      </x:c>
      <x:c r="B132" s="20" t="str">
        <x:v>SAID</x:v>
      </x:c>
      <x:c r="C132" s="20" t="str">
        <x:v>vom wort zum haus</x:v>
      </x:c>
      <x:c r="D132" s="20" t="n">
        <x:v>2018</x:v>
      </x:c>
      <x:c r="E132" s="20" t="n">
        <x:v>2018</x:v>
      </x:c>
      <x:c r="F132" s="20" t="str">
        <x:v>standalone work</x:v>
      </x:c>
      <x:c r="G132" s="60" t="str">
        <x:v>provisional German-original</x:v>
      </x:c>
      <x:c r="H132" s="20" t="str">
        <x:v>AUTO_KEEP_PROVISIONAL</x:v>
      </x:c>
      <x:c r="I132" s="20" t="str"/>
      <x:c r="J132" s="20" t="str">
        <x:v>vom wort zum haus : gedichte</x:v>
      </x:c>
      <x:c r="K132" s="20" t="n">
        <x:v>1</x:v>
      </x:c>
      <x:c r="L132" s="20" t="n">
        <x:v>1</x:v>
      </x:c>
      <x:c r="M132" s="20" t="n">
        <x:v>0</x:v>
      </x:c>
      <x:c r="N132" s="20" t="n">
        <x:v>0</x:v>
      </x:c>
      <x:c r="O132" s="20" t="str">
        <x:v>said-92f39dd1f3</x:v>
      </x:c>
      <x:c r="P132" s="20" t="str">
        <x:v>1157104959</x:v>
      </x:c>
      <x:c r="Q132" s="20" t="str">
        <x:v>830 Deutsche Literatur | B Belletristik</x:v>
      </x:c>
      <x:c r="R132" s="20" t="str">
        <x:v>[1. Auflage]</x:v>
      </x:c>
      <x:c r="S132" s="20" t="str"/>
      <x:c r="T132" s="25" t="n">
        <x:v>46287.72917824074</x:v>
      </x:c>
    </x:row>
    <x:row r="133" ht="54" customHeight="1">
      <x:c r="A133" s="20" t="str">
        <x:v>work-fcfb38176dda</x:v>
      </x:c>
      <x:c r="B133" s="20" t="str">
        <x:v>SAID</x:v>
      </x:c>
      <x:c r="C133" s="20" t="str">
        <x:v>Wo ich sterbe ist meine Fremde</x:v>
      </x:c>
      <x:c r="D133" s="20" t="n">
        <x:v>1983</x:v>
      </x:c>
      <x:c r="E133" s="20" t="n">
        <x:v>2000</x:v>
      </x:c>
      <x:c r="F133" s="20" t="str">
        <x:v>standalone work</x:v>
      </x:c>
      <x:c r="G133" s="60" t="str">
        <x:v>provisional German-original</x:v>
      </x:c>
      <x:c r="H133" s="52" t="str">
        <x:v>Queue: KEEP_ONE</x:v>
      </x:c>
      <x:c r="I133" s="20" t="str">
        <x:v>The 1987 edition adds a conversation with Gino Chiellino to the same poetry collection. I treated the interview as added material and counted one work.</x:v>
      </x:c>
      <x:c r="J133" s="20" t="str">
        <x:v>Wo ich sterbe ist meine Fremde | Wo ich sterbe ist meine Fremde : Exil u. Liebe ; Gedichte u.e. Gespräch mit Gino Chiellino | Wo ich sterbe ist meine Fremde : Gedichte</x:v>
      </x:c>
      <x:c r="K133" s="20" t="n">
        <x:v>5</x:v>
      </x:c>
      <x:c r="L133" s="20" t="n">
        <x:v>5</x:v>
      </x:c>
      <x:c r="M133" s="20" t="n">
        <x:v>0</x:v>
      </x:c>
      <x:c r="N133" s="20" t="n">
        <x:v>0</x:v>
      </x:c>
      <x:c r="O133" s="20" t="str">
        <x:v>said-627aec6fea | said-8187241db9 | said-fcfb38176d</x:v>
      </x:c>
      <x:c r="P133" s="20" t="str">
        <x:v>830939237 | 860126501 | 880322845 | 948097205 | 961015845</x:v>
      </x:c>
      <x:c r="Q133" s="20" t="str">
        <x:v>59 Belletristik</x:v>
      </x:c>
      <x:c r="R133" s="20" t="str">
        <x:v>2. Aufl | 4. Aufl., 4. Tsd | 5. Aufl</x:v>
      </x:c>
      <x:c r="S133" s="20" t="str"/>
      <x:c r="T133" s="25" t="n">
        <x:v>46287.72917824074</x:v>
      </x:c>
    </x:row>
    <x:row r="134" ht="54" customHeight="1">
      <x:c r="A134" s="20" t="str">
        <x:v>work-8949e33ac18b</x:v>
      </x:c>
      <x:c r="B134" s="20" t="str">
        <x:v>Shani Katayun</x:v>
      </x:c>
      <x:c r="C134" s="20" t="str">
        <x:v>Augen in Teheran</x:v>
      </x:c>
      <x:c r="D134" s="20" t="n">
        <x:v>2008</x:v>
      </x:c>
      <x:c r="E134" s="20" t="n">
        <x:v>2008</x:v>
      </x:c>
      <x:c r="F134" s="20" t="str">
        <x:v>standalone work</x:v>
      </x:c>
      <x:c r="G134" s="60" t="str">
        <x:v>provisional German-original</x:v>
      </x:c>
      <x:c r="H134" s="52" t="str">
        <x:v>Queue: KEEP_ONE</x:v>
      </x:c>
      <x:c r="I134" s="20" t="str">
        <x:v>Based on the DNB record, this is a German novel and no translator is named. I kept the German-original status as provisional.</x:v>
      </x:c>
      <x:c r="J134" s="20" t="str">
        <x:v>Augen in Teheran : drei Schwestern zwischen Iran und Deutschland ; Roman</x:v>
      </x:c>
      <x:c r="K134" s="20" t="n">
        <x:v>1</x:v>
      </x:c>
      <x:c r="L134" s="20" t="n">
        <x:v>1</x:v>
      </x:c>
      <x:c r="M134" s="20" t="n">
        <x:v>0</x:v>
      </x:c>
      <x:c r="N134" s="20" t="n">
        <x:v>0</x:v>
      </x:c>
      <x:c r="O134" s="20" t="str">
        <x:v>shani-katayun-c7133d96c2</x:v>
      </x:c>
      <x:c r="P134" s="20" t="str">
        <x:v>986883255</x:v>
      </x:c>
      <x:c r="Q134" s="20" t="str">
        <x:v>830 Deutsche Literatur | B Belletristik</x:v>
      </x:c>
      <x:c r="R134" s="20" t="str"/>
      <x:c r="S134" s="20" t="str"/>
      <x:c r="T134" s="25" t="n">
        <x:v>46287.72917824074</x:v>
      </x:c>
    </x:row>
    <x:row r="135" ht="54" customHeight="1">
      <x:c r="A135" s="20" t="str">
        <x:v>work-54edc9643d11</x:v>
      </x:c>
      <x:c r="B135" s="20" t="str">
        <x:v>Shida Bazyar</x:v>
      </x:c>
      <x:c r="C135" s="20" t="str">
        <x:v>Die Lücken</x:v>
      </x:c>
      <x:c r="D135" s="20" t="n">
        <x:v>2026</x:v>
      </x:c>
      <x:c r="E135" s="20" t="n">
        <x:v>2026</x:v>
      </x:c>
      <x:c r="F135" s="20" t="str">
        <x:v>standalone work</x:v>
      </x:c>
      <x:c r="G135" s="60" t="str">
        <x:v>provisional German-original</x:v>
      </x:c>
      <x:c r="H135" s="20" t="str">
        <x:v>AUTO_KEEP_PROVISIONAL</x:v>
      </x:c>
      <x:c r="I135" s="20" t="str"/>
      <x:c r="J135" s="20" t="str">
        <x:v>Die Lücken : Roman | Nominiert für den Deutschen Buchpreis 2026</x:v>
      </x:c>
      <x:c r="K135" s="20" t="n">
        <x:v>2</x:v>
      </x:c>
      <x:c r="L135" s="20" t="n">
        <x:v>1</x:v>
      </x:c>
      <x:c r="M135" s="20" t="n">
        <x:v>1</x:v>
      </x:c>
      <x:c r="N135" s="20" t="n">
        <x:v>0</x:v>
      </x:c>
      <x:c r="O135" s="20" t="str">
        <x:v>shida-bazyar-646b37790b</x:v>
      </x:c>
      <x:c r="P135" s="20" t="str">
        <x:v>1395506272 | 1418256048</x:v>
      </x:c>
      <x:c r="Q135" s="20" t="str">
        <x:v>830 Deutsche Literatur | B Belletristik</x:v>
      </x:c>
      <x:c r="R135" s="20" t="str">
        <x:v>2. Auflage | 1. Auflage</x:v>
      </x:c>
      <x:c r="S135" s="20" t="str"/>
      <x:c r="T135" s="25" t="n">
        <x:v>46287.72917824074</x:v>
      </x:c>
    </x:row>
    <x:row r="136" ht="54" customHeight="1">
      <x:c r="A136" s="20" t="str">
        <x:v>work-f7ba804b1d9c</x:v>
      </x:c>
      <x:c r="B136" s="20" t="str">
        <x:v>Shida Bazyar</x:v>
      </x:c>
      <x:c r="C136" s="20" t="str">
        <x:v>Drei Kameradinnen</x:v>
      </x:c>
      <x:c r="D136" s="20" t="n">
        <x:v>2021</x:v>
      </x:c>
      <x:c r="E136" s="20" t="n">
        <x:v>2022</x:v>
      </x:c>
      <x:c r="F136" s="20" t="str">
        <x:v>standalone work</x:v>
      </x:c>
      <x:c r="G136" s="59" t="str">
        <x:v>verified German-original</x:v>
      </x:c>
      <x:c r="H136" s="20" t="str">
        <x:v>AUTO_KEEP_FLAGGED_FOR_SPOT_CHECK</x:v>
      </x:c>
      <x:c r="I136" s="20" t="str"/>
      <x:c r="J136" s="20" t="str">
        <x:v>Drei Kameradinnen : Roman | [Bazyar] ; Drei Kameradinnen : Roman | [Drei Kameradinnen] ; Banafshe Hourmazdi liest Drei Kameradinnen</x:v>
      </x:c>
      <x:c r="K136" s="20" t="n">
        <x:v>6</x:v>
      </x:c>
      <x:c r="L136" s="20" t="n">
        <x:v>2</x:v>
      </x:c>
      <x:c r="M136" s="20" t="n">
        <x:v>2</x:v>
      </x:c>
      <x:c r="N136" s="20" t="n">
        <x:v>3</x:v>
      </x:c>
      <x:c r="O136" s="20" t="str">
        <x:v>shida-bazyar-3ebeeeb5a4 | shida-bazyar-98ff96b60d | shida-bazyar-9d25396001</x:v>
      </x:c>
      <x:c r="P136" s="20" t="str">
        <x:v>1220308730 | 1220615927 | 1236108337 | 1255717203 | 1255717874 | 1264409540</x:v>
      </x:c>
      <x:c r="Q136" s="20" t="str">
        <x:v>830 Deutsche Literatur | B Belletristik</x:v>
      </x:c>
      <x:c r="R136" s="20" t="str">
        <x:v>Ungekürze Lesung | 1. Auflage | 1. Auflage, Ungekürzte Ausgabe, ungekürzte Ausgabe</x:v>
      </x:c>
      <x:c r="S136" s="20" t="str">
        <x:v>publisher biography</x:v>
      </x:c>
      <x:c r="T136" s="25" t="n">
        <x:v>46287.72917824074</x:v>
      </x:c>
    </x:row>
    <x:row r="137" ht="54" customHeight="1">
      <x:c r="A137" s="20" t="str">
        <x:v>work-8fe602b4ef96</x:v>
      </x:c>
      <x:c r="B137" s="20" t="str">
        <x:v>Shida Bazyar</x:v>
      </x:c>
      <x:c r="C137" s="20" t="str">
        <x:v>Nachts ist es leise in Teheran</x:v>
      </x:c>
      <x:c r="D137" s="20" t="n">
        <x:v>2016</x:v>
      </x:c>
      <x:c r="E137" s="20" t="n">
        <x:v>2017</x:v>
      </x:c>
      <x:c r="F137" s="20" t="str">
        <x:v>standalone work</x:v>
      </x:c>
      <x:c r="G137" s="59" t="str">
        <x:v>verified German-original</x:v>
      </x:c>
      <x:c r="H137" s="20" t="str">
        <x:v>AUTO_KEEP_PROVISIONAL</x:v>
      </x:c>
      <x:c r="I137" s="20" t="str"/>
      <x:c r="J137" s="20" t="str">
        <x:v>Nachts ist es leise in Teheran : Roman</x:v>
      </x:c>
      <x:c r="K137" s="20" t="n">
        <x:v>3</x:v>
      </x:c>
      <x:c r="L137" s="20" t="n">
        <x:v>2</x:v>
      </x:c>
      <x:c r="M137" s="20" t="n">
        <x:v>1</x:v>
      </x:c>
      <x:c r="N137" s="20" t="n">
        <x:v>0</x:v>
      </x:c>
      <x:c r="O137" s="20" t="str">
        <x:v>shida-bazyar-8088ff611e</x:v>
      </x:c>
      <x:c r="P137" s="20" t="str">
        <x:v>1079018891 | 110269245X | 113117870X</x:v>
      </x:c>
      <x:c r="Q137" s="20" t="str">
        <x:v>830 Deutsche Literatur | B Belletristik</x:v>
      </x:c>
      <x:c r="R137" s="20" t="str">
        <x:v>1. Auflage</x:v>
      </x:c>
      <x:c r="S137" s="20" t="str">
        <x:v>publisher biography</x:v>
      </x:c>
      <x:c r="T137" s="25" t="n">
        <x:v>46287.72917824074</x:v>
      </x:c>
    </x:row>
    <x:row r="138" ht="54" customHeight="1">
      <x:c r="A138" s="20" t="str">
        <x:v>work-a307a5c5a1e3</x:v>
      </x:c>
      <x:c r="B138" s="20" t="str">
        <x:v>Shida Bazyar</x:v>
      </x:c>
      <x:c r="C138" s="20" t="str">
        <x:v>Von Kameradin zu Kamerad (in: Networking Remarque)</x:v>
      </x:c>
      <x:c r="D138" s="20" t="n">
        <x:v>2024</x:v>
      </x:c>
      <x:c r="E138" s="20" t="n">
        <x:v>2024</x:v>
      </x:c>
      <x:c r="F138" s="20" t="str">
        <x:v>anthology contribution</x:v>
      </x:c>
      <x:c r="G138" s="60" t="str">
        <x:v>provisional German-original</x:v>
      </x:c>
      <x:c r="H138" s="52" t="str">
        <x:v>Queue: KEEP_ONE</x:v>
      </x:c>
      <x:c r="I138" s="20" t="str">
        <x:v>DNB lists Bazyar as one of the authors and its table of contents identifies her text as ‘Von Kameradin zu Kamerad’. The City of Osnabrück page confirms the same title, so I counted her contribution and not the whole publication.</x:v>
      </x:c>
      <x:c r="J138" s="20" t="str">
        <x:v>Networking Remarque : Zum 125. Geburtstag Erich Maria Remarques</x:v>
      </x:c>
      <x:c r="K138" s="20" t="n">
        <x:v>1</x:v>
      </x:c>
      <x:c r="L138" s="20" t="n">
        <x:v>0</x:v>
      </x:c>
      <x:c r="M138" s="20" t="n">
        <x:v>1</x:v>
      </x:c>
      <x:c r="N138" s="20" t="n">
        <x:v>0</x:v>
      </x:c>
      <x:c r="O138" s="20" t="str">
        <x:v>shida-bazyar-40b1e3284e</x:v>
      </x:c>
      <x:c r="P138" s="20" t="str">
        <x:v>1318623588</x:v>
      </x:c>
      <x:c r="Q138" s="20" t="str">
        <x:v>830 Deutsche Literatur</x:v>
      </x:c>
      <x:c r="R138" s="20" t="str">
        <x:v>1. Auflage</x:v>
      </x:c>
      <x:c r="S138" s="20" t="str"/>
      <x:c r="T138" s="25" t="n">
        <x:v>46287.72917824074</x:v>
      </x:c>
    </x:row>
    <x:row r="139" ht="54" customHeight="1">
      <x:c r="A139" s="20" t="str">
        <x:v>work-73b755638e4a</x:v>
      </x:c>
      <x:c r="B139" s="20" t="str">
        <x:v>Shirin Kumm</x:v>
      </x:c>
      <x:c r="C139" s="20" t="str">
        <x:v>Der Blick hinab</x:v>
      </x:c>
      <x:c r="D139" s="20" t="n">
        <x:v>2007</x:v>
      </x:c>
      <x:c r="E139" s="20" t="n">
        <x:v>2007</x:v>
      </x:c>
      <x:c r="F139" s="20" t="str">
        <x:v>standalone work</x:v>
      </x:c>
      <x:c r="G139" s="59" t="str">
        <x:v>verified German-original</x:v>
      </x:c>
      <x:c r="H139" s="20" t="str">
        <x:v>AUTO_KEEP_PROVISIONAL</x:v>
      </x:c>
      <x:c r="I139" s="20" t="str"/>
      <x:c r="J139" s="20" t="str">
        <x:v>Der Blick hinab : Roman</x:v>
      </x:c>
      <x:c r="K139" s="20" t="n">
        <x:v>1</x:v>
      </x:c>
      <x:c r="L139" s="20" t="n">
        <x:v>1</x:v>
      </x:c>
      <x:c r="M139" s="20" t="n">
        <x:v>0</x:v>
      </x:c>
      <x:c r="N139" s="20" t="n">
        <x:v>0</x:v>
      </x:c>
      <x:c r="O139" s="20" t="str">
        <x:v>shirin-kumm-c8234979f5</x:v>
      </x:c>
      <x:c r="P139" s="20" t="str">
        <x:v>979826152</x:v>
      </x:c>
      <x:c r="Q139" s="20" t="str">
        <x:v>830 Deutsche Literatur | B Belletristik</x:v>
      </x:c>
      <x:c r="R139" s="20" t="str">
        <x:v>Orig.-Ausg., 1. Aufl</x:v>
      </x:c>
      <x:c r="S139" s="20" t="str">
        <x:v>author profile</x:v>
      </x:c>
      <x:c r="T139" s="25" t="n">
        <x:v>46287.72917824074</x:v>
      </x:c>
    </x:row>
    <x:row r="140" ht="54" customHeight="1">
      <x:c r="A140" s="20" t="str">
        <x:v>work-d7bc408caebd</x:v>
      </x:c>
      <x:c r="B140" s="20" t="str">
        <x:v>Shirin Kumm</x:v>
      </x:c>
      <x:c r="C140" s="20" t="str">
        <x:v>Royadesara</x:v>
      </x:c>
      <x:c r="D140" s="20" t="n">
        <x:v>2003</x:v>
      </x:c>
      <x:c r="E140" s="20" t="n">
        <x:v>2003</x:v>
      </x:c>
      <x:c r="F140" s="20" t="str">
        <x:v>standalone work</x:v>
      </x:c>
      <x:c r="G140" s="59" t="str">
        <x:v>verified German-original</x:v>
      </x:c>
      <x:c r="H140" s="20" t="str">
        <x:v>AUTO_KEEP_PROVISIONAL</x:v>
      </x:c>
      <x:c r="I140" s="20" t="str"/>
      <x:c r="J140" s="20" t="str">
        <x:v>Royadesara : eine Verwirrung ; Roman</x:v>
      </x:c>
      <x:c r="K140" s="20" t="n">
        <x:v>1</x:v>
      </x:c>
      <x:c r="L140" s="20" t="n">
        <x:v>1</x:v>
      </x:c>
      <x:c r="M140" s="20" t="n">
        <x:v>0</x:v>
      </x:c>
      <x:c r="N140" s="20" t="n">
        <x:v>0</x:v>
      </x:c>
      <x:c r="O140" s="20" t="str">
        <x:v>shirin-kumm-8814b74252</x:v>
      </x:c>
      <x:c r="P140" s="20" t="str">
        <x:v>96576768X</x:v>
      </x:c>
      <x:c r="Q140" s="20" t="str">
        <x:v>59 Belletristik</x:v>
      </x:c>
      <x:c r="R140" s="20" t="str">
        <x:v>1. Aufl</x:v>
      </x:c>
      <x:c r="S140" s="20" t="str">
        <x:v>author profile</x:v>
      </x:c>
      <x:c r="T140" s="25" t="n">
        <x:v>46287.72917824074</x:v>
      </x:c>
    </x:row>
    <x:row r="141" ht="54" customHeight="1">
      <x:c r="A141" s="20" t="str">
        <x:v>work-df972cb6dd97</x:v>
      </x:c>
      <x:c r="B141" s="20" t="str">
        <x:v>Sudabeh Mohafez</x:v>
      </x:c>
      <x:c r="C141" s="20" t="str">
        <x:v>Behalte den Flug im Gedächtnis</x:v>
      </x:c>
      <x:c r="D141" s="20" t="n">
        <x:v>2017</x:v>
      </x:c>
      <x:c r="E141" s="20" t="n">
        <x:v>2017</x:v>
      </x:c>
      <x:c r="F141" s="20" t="str">
        <x:v>standalone work</x:v>
      </x:c>
      <x:c r="G141" s="60" t="str">
        <x:v>provisional German-original</x:v>
      </x:c>
      <x:c r="H141" s="20" t="str">
        <x:v>AUTO_KEEP_PROVISIONAL</x:v>
      </x:c>
      <x:c r="I141" s="20" t="str"/>
      <x:c r="J141" s="20" t="str">
        <x:v>Behalte den Flug im Gedächtnis : Erzählungen</x:v>
      </x:c>
      <x:c r="K141" s="20" t="n">
        <x:v>1</x:v>
      </x:c>
      <x:c r="L141" s="20" t="n">
        <x:v>1</x:v>
      </x:c>
      <x:c r="M141" s="20" t="n">
        <x:v>0</x:v>
      </x:c>
      <x:c r="N141" s="20" t="n">
        <x:v>0</x:v>
      </x:c>
      <x:c r="O141" s="20" t="str">
        <x:v>sudabeh-mohafez-c7d65af21f</x:v>
      </x:c>
      <x:c r="P141" s="20" t="str">
        <x:v>1130667677</x:v>
      </x:c>
      <x:c r="Q141" s="20" t="str">
        <x:v>830 Deutsche Literatur | B Belletristik</x:v>
      </x:c>
      <x:c r="R141" s="20" t="str">
        <x:v>1. Auflage</x:v>
      </x:c>
      <x:c r="S141" s="20" t="str"/>
      <x:c r="T141" s="25" t="n">
        <x:v>46287.72917824074</x:v>
      </x:c>
    </x:row>
    <x:row r="142" ht="54" customHeight="1">
      <x:c r="A142" s="20" t="str">
        <x:v>work-a6e8a8b6dc2e</x:v>
      </x:c>
      <x:c r="B142" s="20" t="str">
        <x:v>Sudabeh Mohafez</x:v>
      </x:c>
      <x:c r="C142" s="20" t="str">
        <x:v>brennt</x:v>
      </x:c>
      <x:c r="D142" s="20" t="n">
        <x:v>2010</x:v>
      </x:c>
      <x:c r="E142" s="20" t="n">
        <x:v>2015</x:v>
      </x:c>
      <x:c r="F142" s="20" t="str">
        <x:v>standalone work</x:v>
      </x:c>
      <x:c r="G142" s="60" t="str">
        <x:v>provisional German-original</x:v>
      </x:c>
      <x:c r="H142" s="20" t="str">
        <x:v>AUTO_KEEP_PROVISIONAL</x:v>
      </x:c>
      <x:c r="I142" s="20" t="str"/>
      <x:c r="J142" s="20" t="str">
        <x:v>Brennt : Roman | brennt : Roman</x:v>
      </x:c>
      <x:c r="K142" s="20" t="n">
        <x:v>2</x:v>
      </x:c>
      <x:c r="L142" s="20" t="n">
        <x:v>1</x:v>
      </x:c>
      <x:c r="M142" s="20" t="n">
        <x:v>1</x:v>
      </x:c>
      <x:c r="N142" s="20" t="n">
        <x:v>0</x:v>
      </x:c>
      <x:c r="O142" s="20" t="str">
        <x:v>sudabeh-mohafez-a267f40057</x:v>
      </x:c>
      <x:c r="P142" s="20" t="str">
        <x:v>107998089X | 998801666</x:v>
      </x:c>
      <x:c r="Q142" s="20" t="str">
        <x:v>830 Deutsche Literatur | B Belletristik</x:v>
      </x:c>
      <x:c r="R142" s="20" t="str">
        <x:v>1. Aufl</x:v>
      </x:c>
      <x:c r="S142" s="20" t="str"/>
      <x:c r="T142" s="25" t="n">
        <x:v>46287.72917824074</x:v>
      </x:c>
    </x:row>
    <x:row r="143" ht="54" customHeight="1">
      <x:c r="A143" s="20" t="str">
        <x:v>work-ba756d5b9332</x:v>
      </x:c>
      <x:c r="B143" s="20" t="str">
        <x:v>Sudabeh Mohafez</x:v>
      </x:c>
      <x:c r="C143" s="20" t="str">
        <x:v>Das Lied vom Flederwisch</x:v>
      </x:c>
      <x:c r="D143" s="20" t="n">
        <x:v>2019</x:v>
      </x:c>
      <x:c r="E143" s="20" t="n">
        <x:v>2019</x:v>
      </x:c>
      <x:c r="F143" s="20" t="str">
        <x:v>standalone work</x:v>
      </x:c>
      <x:c r="G143" s="60" t="str">
        <x:v>provisional German-original</x:v>
      </x:c>
      <x:c r="H143" s="20" t="str">
        <x:v>AUTO_KEEP_PROVISIONAL</x:v>
      </x:c>
      <x:c r="I143" s="20" t="str"/>
      <x:c r="J143" s="20" t="str">
        <x:v>Das Lied vom Flederwisch : ein fantastisches Bestiarium</x:v>
      </x:c>
      <x:c r="K143" s="20" t="n">
        <x:v>1</x:v>
      </x:c>
      <x:c r="L143" s="20" t="n">
        <x:v>1</x:v>
      </x:c>
      <x:c r="M143" s="20" t="n">
        <x:v>0</x:v>
      </x:c>
      <x:c r="N143" s="20" t="n">
        <x:v>0</x:v>
      </x:c>
      <x:c r="O143" s="20" t="str">
        <x:v>sudabeh-mohafez-04f424f450</x:v>
      </x:c>
      <x:c r="P143" s="20" t="str">
        <x:v>116848524X</x:v>
      </x:c>
      <x:c r="Q143" s="20" t="str">
        <x:v>K Kinder- und Jugendliteratur</x:v>
      </x:c>
      <x:c r="R143" s="20" t="str"/>
      <x:c r="S143" s="20" t="str"/>
      <x:c r="T143" s="25" t="n">
        <x:v>46287.72917824074</x:v>
      </x:c>
    </x:row>
    <x:row r="144" ht="54" customHeight="1">
      <x:c r="A144" s="20" t="str">
        <x:v>work-04cdc680248c</x:v>
      </x:c>
      <x:c r="B144" s="20" t="str">
        <x:v>Sudabeh Mohafez</x:v>
      </x:c>
      <x:c r="C144" s="20" t="str">
        <x:v>Das Zehn-Zeilen-Buch</x:v>
      </x:c>
      <x:c r="D144" s="20" t="n">
        <x:v>2010</x:v>
      </x:c>
      <x:c r="E144" s="20" t="n">
        <x:v>2010</x:v>
      </x:c>
      <x:c r="F144" s="20" t="str">
        <x:v>standalone work</x:v>
      </x:c>
      <x:c r="G144" s="60" t="str">
        <x:v>provisional German-original</x:v>
      </x:c>
      <x:c r="H144" s="20" t="str">
        <x:v>AUTO_KEEP_PROVISIONAL</x:v>
      </x:c>
      <x:c r="I144" s="20" t="str"/>
      <x:c r="J144" s="20" t="str">
        <x:v>Das Zehn-Zeilen-Buch</x:v>
      </x:c>
      <x:c r="K144" s="20" t="n">
        <x:v>1</x:v>
      </x:c>
      <x:c r="L144" s="20" t="n">
        <x:v>1</x:v>
      </x:c>
      <x:c r="M144" s="20" t="n">
        <x:v>0</x:v>
      </x:c>
      <x:c r="N144" s="20" t="n">
        <x:v>0</x:v>
      </x:c>
      <x:c r="O144" s="20" t="str">
        <x:v>sudabeh-mohafez-04cdc68024</x:v>
      </x:c>
      <x:c r="P144" s="20" t="str">
        <x:v>1000390357</x:v>
      </x:c>
      <x:c r="Q144" s="20" t="str">
        <x:v>830 Deutsche Literatur | B Belletristik</x:v>
      </x:c>
      <x:c r="R144" s="20" t="str"/>
      <x:c r="S144" s="20" t="str"/>
      <x:c r="T144" s="25" t="n">
        <x:v>46287.72917824074</x:v>
      </x:c>
    </x:row>
    <x:row r="145" ht="54" customHeight="1">
      <x:c r="A145" s="20" t="str">
        <x:v>work-a72bb90841bc</x:v>
      </x:c>
      <x:c r="B145" s="20" t="str">
        <x:v>Sudabeh Mohafez</x:v>
      </x:c>
      <x:c r="C145" s="20" t="str">
        <x:v>Gespräch in Meeresnähe</x:v>
      </x:c>
      <x:c r="D145" s="20" t="n">
        <x:v>2005</x:v>
      </x:c>
      <x:c r="E145" s="20" t="n">
        <x:v>2005</x:v>
      </x:c>
      <x:c r="F145" s="20" t="str">
        <x:v>standalone work</x:v>
      </x:c>
      <x:c r="G145" s="60" t="str">
        <x:v>provisional German-original</x:v>
      </x:c>
      <x:c r="H145" s="20" t="str">
        <x:v>AUTO_KEEP_PROVISIONAL</x:v>
      </x:c>
      <x:c r="I145" s="20" t="str"/>
      <x:c r="J145" s="20" t="str">
        <x:v>Gespräch in Meeresnähe : Roman</x:v>
      </x:c>
      <x:c r="K145" s="20" t="n">
        <x:v>1</x:v>
      </x:c>
      <x:c r="L145" s="20" t="n">
        <x:v>1</x:v>
      </x:c>
      <x:c r="M145" s="20" t="n">
        <x:v>0</x:v>
      </x:c>
      <x:c r="N145" s="20" t="n">
        <x:v>0</x:v>
      </x:c>
      <x:c r="O145" s="20" t="str">
        <x:v>sudabeh-mohafez-58b6950cb6</x:v>
      </x:c>
      <x:c r="P145" s="20" t="str">
        <x:v>975174460</x:v>
      </x:c>
      <x:c r="Q145" s="20" t="str">
        <x:v>830 Deutsche Literatur | B Belletristik</x:v>
      </x:c>
      <x:c r="R145" s="20" t="str"/>
      <x:c r="S145" s="20" t="str"/>
      <x:c r="T145" s="25" t="n">
        <x:v>46287.72917824074</x:v>
      </x:c>
    </x:row>
    <x:row r="146" ht="54" customHeight="1">
      <x:c r="A146" s="20" t="str">
        <x:v>work-d7b9d351468f</x:v>
      </x:c>
      <x:c r="B146" s="20" t="str">
        <x:v>Sudabeh Mohafez</x:v>
      </x:c>
      <x:c r="C146" s="20" t="str">
        <x:v>Kitsune</x:v>
      </x:c>
      <x:c r="D146" s="20" t="n">
        <x:v>2016</x:v>
      </x:c>
      <x:c r="E146" s="20" t="n">
        <x:v>2016</x:v>
      </x:c>
      <x:c r="F146" s="20" t="str">
        <x:v>standalone work</x:v>
      </x:c>
      <x:c r="G146" s="60" t="str">
        <x:v>provisional German-original</x:v>
      </x:c>
      <x:c r="H146" s="20" t="str">
        <x:v>AUTO_KEEP_PROVISIONAL</x:v>
      </x:c>
      <x:c r="I146" s="20" t="str"/>
      <x:c r="J146" s="20" t="str">
        <x:v>Kitsune : 3 Mikroromane</x:v>
      </x:c>
      <x:c r="K146" s="20" t="n">
        <x:v>1</x:v>
      </x:c>
      <x:c r="L146" s="20" t="n">
        <x:v>1</x:v>
      </x:c>
      <x:c r="M146" s="20" t="n">
        <x:v>0</x:v>
      </x:c>
      <x:c r="N146" s="20" t="n">
        <x:v>0</x:v>
      </x:c>
      <x:c r="O146" s="20" t="str">
        <x:v>sudabeh-mohafez-462201684d</x:v>
      </x:c>
      <x:c r="P146" s="20" t="str">
        <x:v>1076515916</x:v>
      </x:c>
      <x:c r="Q146" s="20" t="str">
        <x:v>830 Deutsche Literatur | B Belletristik</x:v>
      </x:c>
      <x:c r="R146" s="20" t="str">
        <x:v>Erstausgabe</x:v>
      </x:c>
      <x:c r="S146" s="20" t="str"/>
      <x:c r="T146" s="25" t="n">
        <x:v>46287.72917824074</x:v>
      </x:c>
    </x:row>
    <x:row r="147" ht="54" customHeight="1">
      <x:c r="A147" s="20" t="str">
        <x:v>work-5036f8500798</x:v>
      </x:c>
      <x:c r="B147" s="20" t="str">
        <x:v>Sudabeh Mohafez</x:v>
      </x:c>
      <x:c r="C147" s="20" t="str">
        <x:v>Schattenfraß – Ein Theatrum Mundi</x:v>
      </x:c>
      <x:c r="D147" s="20" t="n">
        <x:v>2021</x:v>
      </x:c>
      <x:c r="E147" s="20" t="n">
        <x:v>2021</x:v>
      </x:c>
      <x:c r="F147" s="20" t="str">
        <x:v>co-authored work</x:v>
      </x:c>
      <x:c r="G147" s="60" t="str">
        <x:v>provisional German-original</x:v>
      </x:c>
      <x:c r="H147" s="52" t="str">
        <x:v>Queue: KEEP_ONE</x:v>
      </x:c>
      <x:c r="I147" s="20" t="str">
        <x:v>Both records have the same title and the same two authors. One is the normal EPUB and one is the enhanced EPUB, so I counted one work.</x:v>
      </x:c>
      <x:c r="J147" s="20" t="str">
        <x:v>Anija Seedler, Sudabeh Mohafez: Schattenfraß – Ein Theatrum Mundi | Anija Seedler, Sudabeh Mohafez: Schattenfraß – Ein Theatrum Mundi : enhanced</x:v>
      </x:c>
      <x:c r="K147" s="20" t="n">
        <x:v>2</x:v>
      </x:c>
      <x:c r="L147" s="20" t="n">
        <x:v>0</x:v>
      </x:c>
      <x:c r="M147" s="20" t="n">
        <x:v>2</x:v>
      </x:c>
      <x:c r="N147" s="20" t="n">
        <x:v>0</x:v>
      </x:c>
      <x:c r="O147" s="20" t="str">
        <x:v>sudabeh-mohafez-5ff0e32b1c | sudabeh-mohafez-c47712e465</x:v>
      </x:c>
      <x:c r="P147" s="20" t="str">
        <x:v>127521326X | 1275213286</x:v>
      </x:c>
      <x:c r="Q147" s="20" t="str">
        <x:v>830 Deutsche Literatur</x:v>
      </x:c>
      <x:c r="R147" s="20" t="str"/>
      <x:c r="S147" s="20" t="str"/>
      <x:c r="T147" s="25" t="n">
        <x:v>46287.72917824074</x:v>
      </x:c>
    </x:row>
    <x:row r="148" ht="54" customHeight="1">
      <x:c r="A148" s="20" t="str">
        <x:v>work-8534c8765afd</x:v>
      </x:c>
      <x:c r="B148" s="20" t="str">
        <x:v>Sudabeh Mohafez</x:v>
      </x:c>
      <x:c r="C148" s="20" t="str">
        <x:v>Wüstenhimmel Sternenland</x:v>
      </x:c>
      <x:c r="D148" s="20" t="n">
        <x:v>2004</x:v>
      </x:c>
      <x:c r="E148" s="20" t="n">
        <x:v>2007</x:v>
      </x:c>
      <x:c r="F148" s="20" t="str">
        <x:v>standalone work</x:v>
      </x:c>
      <x:c r="G148" s="60" t="str">
        <x:v>provisional German-original</x:v>
      </x:c>
      <x:c r="H148" s="20" t="str">
        <x:v>AUTO_KEEP_PROVISIONAL</x:v>
      </x:c>
      <x:c r="I148" s="20" t="str"/>
      <x:c r="J148" s="20" t="str">
        <x:v>Wüstenhimmel Sternenland : Erzählungen</x:v>
      </x:c>
      <x:c r="K148" s="20" t="n">
        <x:v>2</x:v>
      </x:c>
      <x:c r="L148" s="20" t="n">
        <x:v>2</x:v>
      </x:c>
      <x:c r="M148" s="20" t="n">
        <x:v>0</x:v>
      </x:c>
      <x:c r="N148" s="20" t="n">
        <x:v>0</x:v>
      </x:c>
      <x:c r="O148" s="20" t="str">
        <x:v>sudabeh-mohafez-5901c9c8a8</x:v>
      </x:c>
      <x:c r="P148" s="20" t="str">
        <x:v>971634696 | 982456697</x:v>
      </x:c>
      <x:c r="Q148" s="20" t="str">
        <x:v>830 Deutsche Literatur | B Belletristik</x:v>
      </x:c>
      <x:c r="R148" s="20" t="str"/>
      <x:c r="S148" s="20" t="str"/>
      <x:c r="T148" s="25" t="n">
        <x:v>46287.72917824074</x:v>
      </x:c>
    </x:row>
  </x:sheetData>
  <x:mergeCells>
    <x:mergeCell ref="A1:T1"/>
    <x:mergeCell ref="A2:T2"/>
    <x:mergeCell ref="D12:F12"/>
  </x:mergeCells>
  <x:pageMargins left="0.7" right="0.7" top="0.75" bottom="0.75" header="0.3" footer="0.3"/>
</x:worksheet>
</file>

<file path=xl/worksheets/sheet9.xml><?xml version="1.0" encoding="utf-8"?>
<x:worksheet xmlns:x="http://schemas.openxmlformats.org/spreadsheetml/2006/main">
  <x:sheetPr>
    <x:tabColor rgb="FFC55A11"/>
  </x:sheetPr>
  <x:sheetViews>
    <x:sheetView showGridLines="0" workbookViewId="0">
      <x:pane xSplit="1" ySplit="15" topLeftCell="B16" activePane="bottomRight" state="frozen"/>
    </x:sheetView>
  </x:sheetViews>
  <x:sheetFormatPr defaultRowHeight="15"/>
  <x:cols>
    <x:col min="1" max="1" width="33" hidden="0" customWidth="1"/>
    <x:col min="2" max="2" width="28" hidden="0" customWidth="1"/>
    <x:col min="3" max="3" width="42" hidden="0" customWidth="1"/>
    <x:col min="4" max="4" width="25" hidden="0" customWidth="1"/>
    <x:col min="5" max="5" width="18" hidden="0" customWidth="1"/>
    <x:col min="6" max="6" width="18" hidden="0" customWidth="1"/>
    <x:col min="7" max="7" width="18" hidden="0" customWidth="1"/>
    <x:col min="8" max="8" width="18" hidden="0" customWidth="1"/>
    <x:col min="9" max="9" width="29" hidden="0" customWidth="1"/>
    <x:col min="10" max="10" width="23" hidden="0" customWidth="1"/>
  </x:cols>
  <x:sheetData>
    <x:row r="1" ht="30" customHeight="1">
      <x:c r="A1" s="67" t="str">
        <x:v>Literary-signal and DNB Sachgruppe 890 audit</x:v>
      </x:c>
      <x:c r="B1" s="67"/>
      <x:c r="C1" s="67"/>
      <x:c r="D1" s="67"/>
      <x:c r="E1" s="67"/>
      <x:c r="F1" s="67"/>
      <x:c r="G1" s="67"/>
      <x:c r="H1" s="67"/>
      <x:c r="I1" s="67"/>
      <x:c r="J1" s="67"/>
    </x:row>
    <x:row r="2" ht="46" customHeight="1">
      <x:c r="A2" s="71" t="str">
        <x:v>Two closing checks: rerun Nirumand against the complete literary rule, then inspect every retained work whose DNB subjects include 890. The checks do not turn missing evidence into zero and do not treat 890 as proof of translation.</x:v>
      </x:c>
      <x:c r="B2" s="71"/>
      <x:c r="C2" s="71"/>
      <x:c r="D2" s="71"/>
      <x:c r="E2" s="71"/>
      <x:c r="F2" s="71"/>
      <x:c r="G2" s="71"/>
      <x:c r="H2" s="71"/>
      <x:c r="I2" s="71"/>
      <x:c r="J2" s="71"/>
    </x:row>
    <x:row r="4">
      <x:c r="A4" s="73" t="str">
        <x:v>Check 1 — Bahman Nirumand</x:v>
      </x:c>
      <x:c r="B4" s="73"/>
      <x:c r="C4" s="73"/>
      <x:c r="D4" s="73"/>
      <x:c r="E4" s="73"/>
      <x:c r="F4" s="73"/>
      <x:c r="G4" s="73"/>
      <x:c r="H4" s="73"/>
      <x:c r="I4" s="73"/>
      <x:c r="J4" s="73"/>
    </x:row>
    <x:row r="5">
      <x:c r="A5" s="75" t="str">
        <x:v>GND</x:v>
      </x:c>
      <x:c r="B5" s="20" t="str">
        <x:v>123474760</x:v>
      </x:c>
    </x:row>
    <x:row r="6">
      <x:c r="A6" s="75" t="str">
        <x:v>DNB records checked</x:v>
      </x:c>
      <x:c r="B6" s="20" t="n">
        <x:v>40</x:v>
      </x:c>
    </x:row>
    <x:row r="7">
      <x:c r="A7" s="75" t="str">
        <x:v>Subject codes checked</x:v>
      </x:c>
      <x:c r="B7" s="20" t="str">
        <x:v>B, 830, 59, 08a, K, 07</x:v>
      </x:c>
    </x:row>
    <x:row r="8">
      <x:c r="A8" s="75" t="str">
        <x:v>Title genre terms checked</x:v>
      </x:c>
      <x:c r="B8" s="20" t="str">
        <x:v>Roman; Romane; Gedicht/e; Erzählung/en; Prosa; Novelle/n; Theaterstück; Drama/Dramen; Märchen; Lyrik; Kurzgeschichten</x:v>
      </x:c>
    </x:row>
    <x:row r="9">
      <x:c r="A9" s="75" t="str">
        <x:v>Unique literary-signal hits</x:v>
      </x:c>
      <x:c r="B9" s="76" t="n">
        <x:v>0</x:v>
      </x:c>
    </x:row>
    <x:row r="10">
      <x:c r="A10" s="75" t="str">
        <x:v>Decision</x:v>
      </x:c>
      <x:c r="B10" s="76" t="str">
        <x:v>OUT unchanged</x:v>
      </x:c>
    </x:row>
    <x:row r="11">
      <x:c r="A11" s="75" t="str">
        <x:v>Live DNB query</x:v>
      </x:c>
      <x:c r="B11" s="20" t="str">
        <x:v>https://services.dnb.de/sru/dnb?version=1.1&amp;operation=searchRetrieve&amp;query=aunidref%3D123474760&amp;recordSchema=oai_dc&amp;maximumRecords=100&amp;startRecord=1</x:v>
      </x:c>
    </x:row>
    <x:row r="12">
      <x:c r="A12" s="75" t="str">
        <x:v>Retrieved UTC</x:v>
      </x:c>
      <x:c r="B12" s="25" t="n">
        <x:v>46291.32202546296</x:v>
      </x:c>
    </x:row>
    <x:row r="14">
      <x:c r="A14" s="73" t="str">
        <x:v>Check 2 — retained works with DNB Sachgruppe 890</x:v>
      </x:c>
      <x:c r="B14" s="73"/>
      <x:c r="C14" s="73"/>
      <x:c r="D14" s="73"/>
      <x:c r="E14" s="73"/>
      <x:c r="F14" s="73"/>
      <x:c r="G14" s="73"/>
      <x:c r="H14" s="73"/>
      <x:c r="I14" s="73"/>
      <x:c r="J14" s="73"/>
    </x:row>
    <x:row r="15" ht="52" customHeight="1">
      <x:c r="A15" s="80" t="str">
        <x:v>Work</x:v>
      </x:c>
      <x:c r="B15" s="80" t="str">
        <x:v>DNB IDNs</x:v>
      </x:c>
      <x:c r="C15" s="80" t="str">
        <x:v>DNB subjects</x:v>
      </x:c>
      <x:c r="D15" s="80" t="str">
        <x:v>Separate literary signal</x:v>
      </x:c>
      <x:c r="E15" s="80" t="str">
        <x:v>MARC language</x:v>
      </x:c>
      <x:c r="F15" s="80" t="str">
        <x:v>Original-language code</x:v>
      </x:c>
      <x:c r="G15" s="80" t="str">
        <x:v>Translator role</x:v>
      </x:c>
      <x:c r="H15" s="80" t="str">
        <x:v>Translation phrase</x:v>
      </x:c>
      <x:c r="I15" s="80" t="str">
        <x:v>Decision</x:v>
      </x:c>
      <x:c r="J15" s="80" t="str">
        <x:v>Author-level flag</x:v>
      </x:c>
    </x:row>
    <x:row r="16" ht="72" customHeight="1">
      <x:c r="A16" s="20" t="str">
        <x:v>Navid Kermani — Album</x:v>
      </x:c>
      <x:c r="B16" s="20" t="str">
        <x:v>1051000807 | 1056858745</x:v>
      </x:c>
      <x:c r="C16" s="20" t="str">
        <x:v>890 Literatur in anderen Sprachen | B Belletristik</x:v>
      </x:c>
      <x:c r="D16" s="20" t="str">
        <x:v>B</x:v>
      </x:c>
      <x:c r="E16" s="20" t="str">
        <x:v>ger</x:v>
      </x:c>
      <x:c r="F16" s="20" t="str">
        <x:v>none recorded</x:v>
      </x:c>
      <x:c r="G16" s="20" t="str">
        <x:v>no</x:v>
      </x:c>
      <x:c r="H16" s="20" t="str">
        <x:v>no</x:v>
      </x:c>
      <x:c r="I16" s="76" t="str">
        <x:v>retain as provisional German-original</x:v>
      </x:c>
      <x:c r="J16" s="20" t="str">
        <x:v>no</x:v>
      </x:c>
    </x:row>
    <x:row r="17" ht="72" customHeight="1">
      <x:c r="A17" s="20" t="str">
        <x:v>SAID — Das Rot lächelt, das Blau schweigt</x:v>
      </x:c>
      <x:c r="B17" s="20" t="str">
        <x:v>979334586</x:v>
      </x:c>
      <x:c r="C17" s="20" t="str">
        <x:v>750 Malerei | 890 Literatur in anderen Sprachen | B Belletristik</x:v>
      </x:c>
      <x:c r="D17" s="20" t="str">
        <x:v>B</x:v>
      </x:c>
      <x:c r="E17" s="20" t="str">
        <x:v>ger</x:v>
      </x:c>
      <x:c r="F17" s="20" t="str">
        <x:v>none recorded</x:v>
      </x:c>
      <x:c r="G17" s="20" t="str">
        <x:v>no</x:v>
      </x:c>
      <x:c r="H17" s="20" t="str">
        <x:v>no</x:v>
      </x:c>
      <x:c r="I17" s="76" t="str">
        <x:v>retain as provisional German-original</x:v>
      </x:c>
      <x:c r="J17" s="20" t="str">
        <x:v>no</x:v>
      </x:c>
    </x:row>
    <x:row r="18" ht="72" customHeight="1">
      <x:c r="A18" s="20" t="str">
        <x:v>SAID — Der Engel und die Taube</x:v>
      </x:c>
      <x:c r="B18" s="20" t="str">
        <x:v>987935291</x:v>
      </x:c>
      <x:c r="C18" s="20" t="str">
        <x:v>890 Literatur in anderen Sprachen | B Belletristik</x:v>
      </x:c>
      <x:c r="D18" s="20" t="str">
        <x:v>B + Erzählungen</x:v>
      </x:c>
      <x:c r="E18" s="20" t="str">
        <x:v>ger</x:v>
      </x:c>
      <x:c r="F18" s="20" t="str">
        <x:v>none recorded</x:v>
      </x:c>
      <x:c r="G18" s="20" t="str">
        <x:v>no</x:v>
      </x:c>
      <x:c r="H18" s="20" t="str">
        <x:v>no</x:v>
      </x:c>
      <x:c r="I18" s="76" t="str">
        <x:v>retain as provisional German-original</x:v>
      </x:c>
      <x:c r="J18" s="20" t="str">
        <x:v>no</x:v>
      </x:c>
    </x:row>
    <x:row r="19" ht="72" customHeight="1">
      <x:c r="A19" s="20" t="str">
        <x:v>Noshin Shahrokhi — Unerfüllte Träume einer Iranerin</x:v>
      </x:c>
      <x:c r="B19" s="20" t="str">
        <x:v>987294431</x:v>
      </x:c>
      <x:c r="C19" s="20" t="str">
        <x:v>890 Literatur in anderen Sprachen | B Belletristik</x:v>
      </x:c>
      <x:c r="D19" s="20" t="str">
        <x:v>B + Roman</x:v>
      </x:c>
      <x:c r="E19" s="20" t="str">
        <x:v>ger</x:v>
      </x:c>
      <x:c r="F19" s="20" t="str">
        <x:v>none recorded</x:v>
      </x:c>
      <x:c r="G19" s="20" t="str">
        <x:v>no</x:v>
      </x:c>
      <x:c r="H19" s="20" t="str">
        <x:v>no</x:v>
      </x:c>
      <x:c r="I19" s="76" t="str">
        <x:v>retain as provisional German-original</x:v>
      </x:c>
      <x:c r="J19" s="64" t="str">
        <x:v>YES — Shahrokhi</x:v>
      </x:c>
    </x:row>
    <x:row r="21">
      <x:c r="A21" s="81" t="str">
        <x:v>Applied 890 rule</x:v>
      </x:c>
      <x:c r="B21" s="81"/>
      <x:c r="C21" s="81"/>
      <x:c r="D21" s="81"/>
      <x:c r="E21" s="81"/>
      <x:c r="F21" s="81"/>
      <x:c r="G21" s="81"/>
      <x:c r="H21" s="81"/>
      <x:c r="I21" s="81"/>
      <x:c r="J21" s="81"/>
    </x:row>
    <x:row r="22" ht="52" customHeight="1">
      <x:c r="A22" s="85" t="str">
        <x:v>890 Literatur in anderen Sprachen is a review flag only. It is neither proof of translation nor sufficient literary evidence by itself. Retention requires German MARC language, a separate approved literary signal, and no translator role, non-German original-language code or translation phrase. The label stays provisional unless a title-level source verifies German-original status.</x:v>
      </x:c>
      <x:c r="B22" s="85"/>
      <x:c r="C22" s="85"/>
      <x:c r="D22" s="85"/>
      <x:c r="E22" s="85"/>
      <x:c r="F22" s="85"/>
      <x:c r="G22" s="85"/>
      <x:c r="H22" s="85"/>
      <x:c r="I22" s="85"/>
      <x:c r="J22" s="85"/>
    </x:row>
    <x:row r="23" ht="52" customHeight="1">
      <x:c r="A23" s="85"/>
      <x:c r="B23" s="85"/>
      <x:c r="C23" s="85"/>
      <x:c r="D23" s="85"/>
      <x:c r="E23" s="85"/>
      <x:c r="F23" s="85"/>
      <x:c r="G23" s="85"/>
      <x:c r="H23" s="85"/>
      <x:c r="I23" s="85"/>
      <x:c r="J23" s="85"/>
    </x:row>
    <x:row r="24" ht="48" customHeight="1">
      <x:c r="A24" s="90" t="str">
        <x:v>Shahrokhi flag: her inclusion depends on this one provisionally German-original novel. The 890 check found no translation evidence, but it does not upgrade the certainty to verified.</x:v>
      </x:c>
      <x:c r="B24" s="90"/>
      <x:c r="C24" s="90"/>
      <x:c r="D24" s="90"/>
      <x:c r="E24" s="90"/>
      <x:c r="F24" s="90"/>
      <x:c r="G24" s="90"/>
      <x:c r="H24" s="90"/>
      <x:c r="I24" s="90"/>
      <x:c r="J24" s="90"/>
    </x:row>
  </x:sheetData>
  <x:mergeCells>
    <x:mergeCell ref="A1:J1"/>
    <x:mergeCell ref="A2:J2"/>
    <x:mergeCell ref="A4:J4"/>
    <x:mergeCell ref="A14:J14"/>
    <x:mergeCell ref="A21:J21"/>
    <x:mergeCell ref="A22:J23"/>
    <x:mergeCell ref="A24:J24"/>
  </x:mergeCells>
  <x:pageMargins left="0.7" right="0.7" top="0.75" bottom="0.75" header="0.3" footer="0.3"/>
</x:worksheet>
</file>